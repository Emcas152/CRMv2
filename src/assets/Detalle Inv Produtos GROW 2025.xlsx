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-altramedic\Contabilidad\ERIK CUJ\Resultados\GROW\Movimiento 2025\Socios Info mensual\"/>
    </mc:Choice>
  </mc:AlternateContent>
  <xr:revisionPtr revIDLastSave="0" documentId="13_ncr:1_{82846747-3B33-494D-B655-22964446CF88}" xr6:coauthVersionLast="47" xr6:coauthVersionMax="47" xr10:uidLastSave="{00000000-0000-0000-0000-000000000000}"/>
  <bookViews>
    <workbookView xWindow="-120" yWindow="-120" windowWidth="24240" windowHeight="13140" tabRatio="632" firstSheet="8" activeTab="14" xr2:uid="{00000000-000D-0000-FFFF-FFFF00000000}"/>
  </bookViews>
  <sheets>
    <sheet name="Stándar Day" sheetId="3" r:id="rId1"/>
    <sheet name="Estándar Night" sheetId="4" r:id="rId2"/>
    <sheet name="Intensive F" sheetId="6" r:id="rId3"/>
    <sheet name="Intensive D" sheetId="5" r:id="rId4"/>
    <sheet name="Biotina" sheetId="7" r:id="rId5"/>
    <sheet name="Finasteride" sheetId="8" r:id="rId6"/>
    <sheet name="Saw Palmetto" sheetId="9" r:id="rId7"/>
    <sheet name="Minoxidil 1mg" sheetId="13" r:id="rId8"/>
    <sheet name="Minoxidil 10mg" sheetId="14" r:id="rId9"/>
    <sheet name="Minoxidil 2.5mg" sheetId="15" r:id="rId10"/>
    <sheet name="Dutasteride 0.5mg" sheetId="16" r:id="rId11"/>
    <sheet name="Gel Fijador " sheetId="10" r:id="rId12"/>
    <sheet name="Acondicionador" sheetId="11" r:id="rId13"/>
    <sheet name="Shampoo" sheetId="12" r:id="rId14"/>
    <sheet name="Inventario" sheetId="1" r:id="rId15"/>
  </sheets>
  <definedNames>
    <definedName name="_xlnm.Print_Area" localSheetId="5">Finasteride!$B$1:$I$97</definedName>
    <definedName name="_xlnm.Print_Area" localSheetId="6">'Saw Palmetto'!$B$2:$I$115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1" i="12" l="1"/>
  <c r="I41" i="11"/>
  <c r="I41" i="10"/>
  <c r="I33" i="16"/>
  <c r="F32" i="16"/>
  <c r="I50" i="15"/>
  <c r="F49" i="15"/>
  <c r="I41" i="14"/>
  <c r="I44" i="13"/>
  <c r="I48" i="9"/>
  <c r="F47" i="9"/>
  <c r="I47" i="8"/>
  <c r="F46" i="8"/>
  <c r="I43" i="7"/>
  <c r="I45" i="5"/>
  <c r="I52" i="6"/>
  <c r="F51" i="6"/>
  <c r="I42" i="4"/>
  <c r="I46" i="3"/>
  <c r="I38" i="12"/>
  <c r="I38" i="11"/>
  <c r="I38" i="10"/>
  <c r="I29" i="16"/>
  <c r="I46" i="15"/>
  <c r="F45" i="15"/>
  <c r="I38" i="14"/>
  <c r="I41" i="13"/>
  <c r="I44" i="9"/>
  <c r="I43" i="8"/>
  <c r="I40" i="7"/>
  <c r="F39" i="7"/>
  <c r="I42" i="5"/>
  <c r="I48" i="6"/>
  <c r="F47" i="6"/>
  <c r="I39" i="4"/>
  <c r="I43" i="3"/>
  <c r="I35" i="12"/>
  <c r="I35" i="11"/>
  <c r="I35" i="10"/>
  <c r="I26" i="16"/>
  <c r="F25" i="16"/>
  <c r="I42" i="15"/>
  <c r="I35" i="14"/>
  <c r="I38" i="13"/>
  <c r="F37" i="13"/>
  <c r="I41" i="9"/>
  <c r="I40" i="8"/>
  <c r="I36" i="7"/>
  <c r="I39" i="5"/>
  <c r="F38" i="5"/>
  <c r="I44" i="6"/>
  <c r="I36" i="4"/>
  <c r="F35" i="4"/>
  <c r="I40" i="3"/>
  <c r="I32" i="12"/>
  <c r="I32" i="11"/>
  <c r="I32" i="10"/>
  <c r="I22" i="16"/>
  <c r="I39" i="15"/>
  <c r="F38" i="15"/>
  <c r="I32" i="14"/>
  <c r="I34" i="13"/>
  <c r="I38" i="9"/>
  <c r="F37" i="9"/>
  <c r="I37" i="8"/>
  <c r="F36" i="8"/>
  <c r="I33" i="7"/>
  <c r="I35" i="5"/>
  <c r="I41" i="6"/>
  <c r="F40" i="6"/>
  <c r="I32" i="4"/>
  <c r="I37" i="3"/>
  <c r="F36" i="3"/>
  <c r="I29" i="12"/>
  <c r="I29" i="11"/>
  <c r="I29" i="10"/>
  <c r="I19" i="16"/>
  <c r="F18" i="16"/>
  <c r="I35" i="15"/>
  <c r="F34" i="15"/>
  <c r="F33" i="15"/>
  <c r="I29" i="14"/>
  <c r="I31" i="13"/>
  <c r="I34" i="9"/>
  <c r="F33" i="9"/>
  <c r="I33" i="8"/>
  <c r="I30" i="7"/>
  <c r="I32" i="5"/>
  <c r="I37" i="6"/>
  <c r="F36" i="6"/>
  <c r="I29" i="4"/>
  <c r="I33" i="3"/>
  <c r="I26" i="12"/>
  <c r="I26" i="11"/>
  <c r="I26" i="10"/>
  <c r="I15" i="16"/>
  <c r="I30" i="15"/>
  <c r="I26" i="14"/>
  <c r="I28" i="13"/>
  <c r="F27" i="13"/>
  <c r="I30" i="9"/>
  <c r="I30" i="8"/>
  <c r="F29" i="8"/>
  <c r="I27" i="7"/>
  <c r="I29" i="5"/>
  <c r="F28" i="5"/>
  <c r="I33" i="6"/>
  <c r="F32" i="6"/>
  <c r="I26" i="4"/>
  <c r="I30" i="3"/>
  <c r="I23" i="12"/>
  <c r="I23" i="11"/>
  <c r="I23" i="10"/>
  <c r="I12" i="16"/>
  <c r="I27" i="15"/>
  <c r="F26" i="15"/>
  <c r="I23" i="14"/>
  <c r="I24" i="13"/>
  <c r="I27" i="9"/>
  <c r="F26" i="9"/>
  <c r="I26" i="8"/>
  <c r="I24" i="7"/>
  <c r="I25" i="5"/>
  <c r="I29" i="6"/>
  <c r="F28" i="6"/>
  <c r="I23" i="4"/>
  <c r="I27" i="3"/>
  <c r="I20" i="12"/>
  <c r="I20" i="11"/>
  <c r="F7" i="16"/>
  <c r="G38" i="16"/>
  <c r="D38" i="16"/>
  <c r="I9" i="16"/>
  <c r="F8" i="16"/>
  <c r="I20" i="10"/>
  <c r="I23" i="15"/>
  <c r="F22" i="15"/>
  <c r="I20" i="14"/>
  <c r="I21" i="13"/>
  <c r="I23" i="9"/>
  <c r="F22" i="9"/>
  <c r="I23" i="8"/>
  <c r="F22" i="8"/>
  <c r="I21" i="7"/>
  <c r="I22" i="5"/>
  <c r="F21" i="5"/>
  <c r="I25" i="6"/>
  <c r="F24" i="6"/>
  <c r="I20" i="4"/>
  <c r="I23" i="3"/>
  <c r="F22" i="3"/>
  <c r="D14" i="1"/>
  <c r="I17" i="12"/>
  <c r="I17" i="11"/>
  <c r="I17" i="10"/>
  <c r="I19" i="15"/>
  <c r="I17" i="14"/>
  <c r="I18" i="13"/>
  <c r="I19" i="9"/>
  <c r="I19" i="8"/>
  <c r="I18" i="7"/>
  <c r="I18" i="5"/>
  <c r="I21" i="6"/>
  <c r="F20" i="6"/>
  <c r="I17" i="4"/>
  <c r="I19" i="3"/>
  <c r="I14" i="12"/>
  <c r="I14" i="11"/>
  <c r="I14" i="10"/>
  <c r="I16" i="15"/>
  <c r="F15" i="15"/>
  <c r="I14" i="14"/>
  <c r="I15" i="13"/>
  <c r="I16" i="9"/>
  <c r="F15" i="9"/>
  <c r="I16" i="8"/>
  <c r="F15" i="8"/>
  <c r="I15" i="7"/>
  <c r="F14" i="7"/>
  <c r="I15" i="5"/>
  <c r="I17" i="6"/>
  <c r="F16" i="6"/>
  <c r="I14" i="4"/>
  <c r="I15" i="3"/>
  <c r="F38" i="16" l="1"/>
  <c r="I38" i="16"/>
  <c r="I11" i="12"/>
  <c r="I11" i="11"/>
  <c r="I11" i="10"/>
  <c r="I12" i="15"/>
  <c r="F11" i="15"/>
  <c r="I11" i="14"/>
  <c r="I12" i="13"/>
  <c r="F11" i="13"/>
  <c r="I12" i="9"/>
  <c r="F11" i="9"/>
  <c r="I12" i="8"/>
  <c r="I11" i="7"/>
  <c r="I12" i="5"/>
  <c r="F11" i="5"/>
  <c r="I13" i="6"/>
  <c r="F12" i="6"/>
  <c r="I11" i="4"/>
  <c r="I12" i="3"/>
  <c r="I8" i="12"/>
  <c r="F7" i="12"/>
  <c r="I8" i="11"/>
  <c r="F7" i="11"/>
  <c r="F7" i="10"/>
  <c r="I8" i="10"/>
  <c r="F7" i="15"/>
  <c r="I8" i="15"/>
  <c r="I8" i="14"/>
  <c r="F7" i="14"/>
  <c r="I8" i="13"/>
  <c r="F7" i="13"/>
  <c r="I8" i="9"/>
  <c r="F7" i="9"/>
  <c r="I9" i="8"/>
  <c r="F8" i="8"/>
  <c r="F7" i="8"/>
  <c r="F7" i="7"/>
  <c r="I8" i="7"/>
  <c r="F7" i="5"/>
  <c r="I8" i="5"/>
  <c r="I9" i="6"/>
  <c r="F8" i="6"/>
  <c r="F7" i="6"/>
  <c r="F7" i="4"/>
  <c r="I8" i="4"/>
  <c r="I9" i="3"/>
  <c r="F8" i="3"/>
  <c r="F7" i="3"/>
  <c r="G58" i="6"/>
  <c r="D58" i="6"/>
  <c r="D49" i="7" l="1"/>
  <c r="G49" i="7"/>
  <c r="F49" i="7" l="1"/>
  <c r="I49" i="7"/>
  <c r="D47" i="11"/>
  <c r="G47" i="11"/>
  <c r="G55" i="15"/>
  <c r="D55" i="15"/>
  <c r="D17" i="1"/>
  <c r="D16" i="1"/>
  <c r="D15" i="1"/>
  <c r="D13" i="1"/>
  <c r="D12" i="1"/>
  <c r="D11" i="1"/>
  <c r="D10" i="1"/>
  <c r="D9" i="1"/>
  <c r="D8" i="1"/>
  <c r="D7" i="1"/>
  <c r="D6" i="1"/>
  <c r="D5" i="1"/>
  <c r="F55" i="15" l="1"/>
  <c r="I55" i="15"/>
  <c r="D47" i="12"/>
  <c r="G47" i="12"/>
  <c r="G46" i="10"/>
  <c r="D46" i="10"/>
  <c r="G46" i="14"/>
  <c r="D46" i="14"/>
  <c r="F46" i="14"/>
  <c r="G51" i="8"/>
  <c r="D51" i="8"/>
  <c r="G50" i="5"/>
  <c r="D50" i="5"/>
  <c r="G52" i="9"/>
  <c r="D52" i="9"/>
  <c r="G49" i="13"/>
  <c r="D49" i="13"/>
  <c r="I46" i="14" l="1"/>
  <c r="I47" i="11"/>
  <c r="I50" i="5"/>
  <c r="I58" i="6"/>
  <c r="I47" i="12"/>
  <c r="I52" i="9"/>
  <c r="I51" i="8"/>
  <c r="I46" i="10"/>
  <c r="F49" i="13"/>
  <c r="I49" i="13"/>
  <c r="B19" i="1"/>
  <c r="F47" i="12"/>
  <c r="F47" i="11"/>
  <c r="F46" i="10"/>
  <c r="F52" i="9"/>
  <c r="F51" i="8"/>
  <c r="F58" i="6"/>
  <c r="F50" i="5"/>
  <c r="G47" i="4"/>
  <c r="D47" i="4"/>
  <c r="G51" i="3"/>
  <c r="D51" i="3"/>
  <c r="F47" i="4" l="1"/>
  <c r="I47" i="4"/>
  <c r="I51" i="3"/>
  <c r="F51" i="3"/>
  <c r="D4" i="1"/>
  <c r="K49" i="12" l="1"/>
  <c r="K47" i="12"/>
  <c r="D21" i="1"/>
  <c r="K51" i="12" l="1"/>
  <c r="K53" i="12" s="1"/>
</calcChain>
</file>

<file path=xl/sharedStrings.xml><?xml version="1.0" encoding="utf-8"?>
<sst xmlns="http://schemas.openxmlformats.org/spreadsheetml/2006/main" count="586" uniqueCount="84">
  <si>
    <t>Producto</t>
  </si>
  <si>
    <t xml:space="preserve">ENTRADA </t>
  </si>
  <si>
    <t xml:space="preserve">CANTIDAD </t>
  </si>
  <si>
    <t xml:space="preserve">VALOR </t>
  </si>
  <si>
    <t xml:space="preserve">TOTAL </t>
  </si>
  <si>
    <t xml:space="preserve">SALIDA </t>
  </si>
  <si>
    <t xml:space="preserve">SALDO FINAL </t>
  </si>
  <si>
    <t xml:space="preserve">DESCRIPCION </t>
  </si>
  <si>
    <t xml:space="preserve">Fecha Compra </t>
  </si>
  <si>
    <t xml:space="preserve">Saldo Inicial </t>
  </si>
  <si>
    <t xml:space="preserve">Saldo Final del mes </t>
  </si>
  <si>
    <t>STÁNDAR NIGHT</t>
  </si>
  <si>
    <t xml:space="preserve">STÁNDAR DAY </t>
  </si>
  <si>
    <t>INTENSIVE D</t>
  </si>
  <si>
    <t>INTENSIVE F</t>
  </si>
  <si>
    <t xml:space="preserve">BIOTINA </t>
  </si>
  <si>
    <t xml:space="preserve">FINASTERIDE </t>
  </si>
  <si>
    <t>SAW PALMETTO</t>
  </si>
  <si>
    <t>Stándar Day       o    82U</t>
  </si>
  <si>
    <t>Estándar Night    o    82M</t>
  </si>
  <si>
    <t xml:space="preserve">Finasteride         o   Finasteride en Frasco </t>
  </si>
  <si>
    <t xml:space="preserve">Saw Palmetto     o   Saw Palmeto </t>
  </si>
  <si>
    <t>Intensive D         o    PH-82D</t>
  </si>
  <si>
    <t xml:space="preserve">Biotina               o    Biotina X 30 Cap. </t>
  </si>
  <si>
    <t xml:space="preserve">Ventas del realizada en el mes Enero </t>
  </si>
  <si>
    <t xml:space="preserve">GEL FIJADOR </t>
  </si>
  <si>
    <t xml:space="preserve">ACONDICIONADOR </t>
  </si>
  <si>
    <t xml:space="preserve">SHAMPOO </t>
  </si>
  <si>
    <t xml:space="preserve">Acondicionador </t>
  </si>
  <si>
    <t xml:space="preserve">Gel Fijador </t>
  </si>
  <si>
    <t xml:space="preserve">Shampoo </t>
  </si>
  <si>
    <t xml:space="preserve">Valor Unitario </t>
  </si>
  <si>
    <t xml:space="preserve">Total </t>
  </si>
  <si>
    <t xml:space="preserve">TOTAL PRODUCTO EN INVENTARIO </t>
  </si>
  <si>
    <t xml:space="preserve">TOTAL PRODUCTOS EN QUETZALES </t>
  </si>
  <si>
    <t>MINOXIDIL 1mg</t>
  </si>
  <si>
    <t>Minoxidil 1mg</t>
  </si>
  <si>
    <t>Intensive F       o    PH-82F</t>
  </si>
  <si>
    <t xml:space="preserve">Total Vendido </t>
  </si>
  <si>
    <t xml:space="preserve">Total Comprado </t>
  </si>
  <si>
    <t xml:space="preserve">Total en existetncia </t>
  </si>
  <si>
    <t xml:space="preserve">Diferencia total inventario menos total en existencia </t>
  </si>
  <si>
    <t>Minoxidil 10mg</t>
  </si>
  <si>
    <t>MINOXIDIL 10mg</t>
  </si>
  <si>
    <t>Minoxidil 2.5mg</t>
  </si>
  <si>
    <t>MINOXIDIL 2.5mg</t>
  </si>
  <si>
    <t>Compras realizadas según Factura # 3478211641</t>
  </si>
  <si>
    <t xml:space="preserve">Ventas del realizada en el mes Febrero </t>
  </si>
  <si>
    <t>Ventas del realizada en el mes Febrero</t>
  </si>
  <si>
    <t>Compras realizadas según Factura # 2529971460</t>
  </si>
  <si>
    <t>Ventas del realizada en el mes Marzo</t>
  </si>
  <si>
    <t>Compras realizadas según Factura # 2806991703</t>
  </si>
  <si>
    <t>Compras realizadas según Factura # 221847853</t>
  </si>
  <si>
    <t>Compras realizadas según Factura # 79842179</t>
  </si>
  <si>
    <t xml:space="preserve">Ventas del realizada en el mes Abril </t>
  </si>
  <si>
    <t>Ventas del realizada en el mes Abril</t>
  </si>
  <si>
    <t>Dutasteride 0.5mg</t>
  </si>
  <si>
    <t>Compras realizadas según Factura # 3321514727</t>
  </si>
  <si>
    <t xml:space="preserve">Ventas del realizada en el mes Mayo </t>
  </si>
  <si>
    <t>Compras realizadas según Factura # 810765310</t>
  </si>
  <si>
    <t>Ventas del realizada en el mes Mayo</t>
  </si>
  <si>
    <t>DUSTASTERIDE 0.5 mg</t>
  </si>
  <si>
    <t>Compras realizadas según Factura # 1521307338</t>
  </si>
  <si>
    <t>Ventas del realizada en el mes Junio</t>
  </si>
  <si>
    <t>Ventas del realizada en el mes Julio</t>
  </si>
  <si>
    <t xml:space="preserve">Ventas del realizada en el mes Julio </t>
  </si>
  <si>
    <t>Compras realizadas según Factura # 3529721062</t>
  </si>
  <si>
    <t>Ventas del realizada en el mes Agosto</t>
  </si>
  <si>
    <t>Compras realizadas según Factura # 1788494652</t>
  </si>
  <si>
    <t>Compras realizadas según Factura # 3268103979</t>
  </si>
  <si>
    <t>Compras realizadas según Factura # 1579502508</t>
  </si>
  <si>
    <t>Compras realizadas según Factura # 3905243822</t>
  </si>
  <si>
    <t>Ventas del realizada en el mes Septiembre</t>
  </si>
  <si>
    <t xml:space="preserve">Ventas del realizada en el mes Septiembre </t>
  </si>
  <si>
    <t>Ventas del realizada en el mes Octubre</t>
  </si>
  <si>
    <t>Compras realizadas según Factura # 3373354692</t>
  </si>
  <si>
    <t xml:space="preserve">Ventas del realizada en el mes Octubre </t>
  </si>
  <si>
    <t xml:space="preserve">Ventas del realizada en el mes Noviembre </t>
  </si>
  <si>
    <t>Compras realizadas según Factura # 1736001012</t>
  </si>
  <si>
    <t>Ventas del realizada en el mes Noviembre</t>
  </si>
  <si>
    <t>Saldo  Final Diciembre</t>
  </si>
  <si>
    <t xml:space="preserve">Ventas del realizada en el mes Diciembre </t>
  </si>
  <si>
    <t>Compras realizadas según Factura # 3373154759</t>
  </si>
  <si>
    <t>Ventas del realizada en el mes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</si>
</sst>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Q&quot;* #,##0.00_-;\-&quot;Q&quot;* #,##0.00_-;_-&quot;Q&quot;* &quot;-&quot;??_-;_-@_-"/>
    <numFmt numFmtId="164" formatCode="_(&quot;Q&quot;* #,##0.00_);_(&quot;Q&quot;* \(#,##0.00\);_(&quot;Q&quot;* &quot;-&quot;??_);_(@_)"/>
    <numFmt numFmtId="165" formatCode="dd/mm/yyyy;@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/>
    </xf>
    <xf numFmtId="164" fontId="0" fillId="0" borderId="0" xfId="0" applyNumberFormat="1"/>
    <xf numFmtId="14" fontId="0" fillId="3" borderId="22" xfId="0" applyNumberFormat="1" applyFill="1" applyBorder="1" applyAlignment="1">
      <alignment horizontal="center"/>
    </xf>
    <xf numFmtId="0" fontId="0" fillId="3" borderId="25" xfId="0" applyFill="1" applyBorder="1"/>
    <xf numFmtId="0" fontId="0" fillId="3" borderId="26" xfId="0" applyFill="1" applyBorder="1" applyAlignment="1">
      <alignment horizontal="center"/>
    </xf>
    <xf numFmtId="164" fontId="0" fillId="3" borderId="25" xfId="0" applyNumberFormat="1" applyFill="1" applyBorder="1"/>
    <xf numFmtId="164" fontId="0" fillId="3" borderId="27" xfId="0" applyNumberFormat="1" applyFill="1" applyBorder="1"/>
    <xf numFmtId="0" fontId="0" fillId="3" borderId="24" xfId="0" applyFill="1" applyBorder="1" applyAlignment="1">
      <alignment horizontal="center"/>
    </xf>
    <xf numFmtId="164" fontId="0" fillId="3" borderId="28" xfId="0" applyNumberFormat="1" applyFill="1" applyBorder="1"/>
    <xf numFmtId="164" fontId="4" fillId="3" borderId="28" xfId="0" applyNumberFormat="1" applyFont="1" applyFill="1" applyBorder="1" applyAlignment="1">
      <alignment horizontal="right"/>
    </xf>
    <xf numFmtId="0" fontId="0" fillId="3" borderId="9" xfId="0" applyFill="1" applyBorder="1"/>
    <xf numFmtId="0" fontId="4" fillId="3" borderId="3" xfId="0" applyFont="1" applyFill="1" applyBorder="1" applyAlignment="1">
      <alignment horizontal="center" vertical="center" wrapText="1"/>
    </xf>
    <xf numFmtId="14" fontId="0" fillId="3" borderId="21" xfId="0" applyNumberFormat="1" applyFill="1" applyBorder="1" applyAlignment="1">
      <alignment horizontal="center"/>
    </xf>
    <xf numFmtId="0" fontId="0" fillId="3" borderId="12" xfId="0" applyFill="1" applyBorder="1"/>
    <xf numFmtId="0" fontId="0" fillId="3" borderId="11" xfId="0" applyFill="1" applyBorder="1" applyAlignment="1">
      <alignment horizontal="center"/>
    </xf>
    <xf numFmtId="164" fontId="0" fillId="3" borderId="12" xfId="0" applyNumberFormat="1" applyFill="1" applyBorder="1"/>
    <xf numFmtId="164" fontId="0" fillId="3" borderId="19" xfId="0" applyNumberFormat="1" applyFill="1" applyBorder="1"/>
    <xf numFmtId="0" fontId="0" fillId="3" borderId="21" xfId="0" applyFill="1" applyBorder="1" applyAlignment="1">
      <alignment horizontal="center"/>
    </xf>
    <xf numFmtId="164" fontId="0" fillId="3" borderId="13" xfId="0" applyNumberFormat="1" applyFill="1" applyBorder="1"/>
    <xf numFmtId="0" fontId="5" fillId="0" borderId="0" xfId="0" applyFont="1"/>
    <xf numFmtId="0" fontId="0" fillId="3" borderId="34" xfId="0" applyFill="1" applyBorder="1"/>
    <xf numFmtId="0" fontId="4" fillId="3" borderId="34" xfId="0" applyFont="1" applyFill="1" applyBorder="1" applyAlignment="1">
      <alignment horizontal="right"/>
    </xf>
    <xf numFmtId="0" fontId="4" fillId="3" borderId="25" xfId="0" applyFont="1" applyFill="1" applyBorder="1" applyAlignment="1">
      <alignment horizontal="right"/>
    </xf>
    <xf numFmtId="0" fontId="4" fillId="3" borderId="9" xfId="0" applyFont="1" applyFill="1" applyBorder="1" applyAlignment="1">
      <alignment horizontal="right"/>
    </xf>
    <xf numFmtId="0" fontId="1" fillId="4" borderId="0" xfId="0" applyFont="1" applyFill="1" applyAlignment="1">
      <alignment horizontal="center"/>
    </xf>
    <xf numFmtId="0" fontId="0" fillId="3" borderId="35" xfId="0" applyFill="1" applyBorder="1" applyAlignment="1">
      <alignment horizontal="center"/>
    </xf>
    <xf numFmtId="164" fontId="0" fillId="3" borderId="36" xfId="0" applyNumberFormat="1" applyFill="1" applyBorder="1"/>
    <xf numFmtId="0" fontId="0" fillId="3" borderId="33" xfId="0" applyFill="1" applyBorder="1" applyAlignment="1">
      <alignment horizontal="center"/>
    </xf>
    <xf numFmtId="14" fontId="0" fillId="3" borderId="33" xfId="0" applyNumberFormat="1" applyFill="1" applyBorder="1" applyAlignment="1">
      <alignment horizontal="center"/>
    </xf>
    <xf numFmtId="0" fontId="4" fillId="3" borderId="28" xfId="0" applyFont="1" applyFill="1" applyBorder="1" applyAlignment="1">
      <alignment horizontal="right"/>
    </xf>
    <xf numFmtId="164" fontId="0" fillId="3" borderId="31" xfId="0" applyNumberFormat="1" applyFill="1" applyBorder="1"/>
    <xf numFmtId="164" fontId="0" fillId="3" borderId="10" xfId="0" applyNumberFormat="1" applyFill="1" applyBorder="1"/>
    <xf numFmtId="44" fontId="0" fillId="0" borderId="0" xfId="0" applyNumberFormat="1"/>
    <xf numFmtId="0" fontId="3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44" fontId="0" fillId="2" borderId="1" xfId="0" applyNumberFormat="1" applyFill="1" applyBorder="1"/>
    <xf numFmtId="0" fontId="1" fillId="2" borderId="2" xfId="0" applyFont="1" applyFill="1" applyBorder="1" applyAlignment="1">
      <alignment horizontal="center" vertical="center" wrapText="1"/>
    </xf>
    <xf numFmtId="0" fontId="4" fillId="4" borderId="46" xfId="0" applyFont="1" applyFill="1" applyBorder="1" applyAlignment="1">
      <alignment horizontal="center"/>
    </xf>
    <xf numFmtId="164" fontId="4" fillId="4" borderId="46" xfId="0" applyNumberFormat="1" applyFont="1" applyFill="1" applyBorder="1"/>
    <xf numFmtId="14" fontId="0" fillId="0" borderId="22" xfId="0" applyNumberFormat="1" applyBorder="1" applyAlignment="1">
      <alignment horizontal="center"/>
    </xf>
    <xf numFmtId="0" fontId="0" fillId="0" borderId="25" xfId="0" applyBorder="1"/>
    <xf numFmtId="0" fontId="0" fillId="0" borderId="26" xfId="0" applyBorder="1" applyAlignment="1">
      <alignment horizontal="center"/>
    </xf>
    <xf numFmtId="164" fontId="0" fillId="0" borderId="27" xfId="0" applyNumberFormat="1" applyBorder="1"/>
    <xf numFmtId="0" fontId="0" fillId="0" borderId="24" xfId="0" applyBorder="1" applyAlignment="1">
      <alignment horizontal="center"/>
    </xf>
    <xf numFmtId="164" fontId="4" fillId="0" borderId="28" xfId="0" applyNumberFormat="1" applyFont="1" applyBorder="1" applyAlignment="1">
      <alignment horizontal="right"/>
    </xf>
    <xf numFmtId="0" fontId="0" fillId="0" borderId="9" xfId="0" applyBorder="1"/>
    <xf numFmtId="0" fontId="0" fillId="0" borderId="34" xfId="0" applyBorder="1"/>
    <xf numFmtId="0" fontId="0" fillId="0" borderId="15" xfId="0" applyBorder="1"/>
    <xf numFmtId="14" fontId="0" fillId="0" borderId="33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164" fontId="0" fillId="0" borderId="10" xfId="0" applyNumberFormat="1" applyBorder="1"/>
    <xf numFmtId="0" fontId="0" fillId="0" borderId="22" xfId="0" applyBorder="1" applyAlignment="1">
      <alignment horizontal="center"/>
    </xf>
    <xf numFmtId="164" fontId="0" fillId="0" borderId="28" xfId="0" applyNumberFormat="1" applyBorder="1"/>
    <xf numFmtId="0" fontId="0" fillId="0" borderId="35" xfId="0" applyBorder="1" applyAlignment="1">
      <alignment horizontal="center"/>
    </xf>
    <xf numFmtId="164" fontId="0" fillId="0" borderId="36" xfId="0" applyNumberFormat="1" applyBorder="1"/>
    <xf numFmtId="0" fontId="0" fillId="0" borderId="33" xfId="0" applyBorder="1" applyAlignment="1">
      <alignment horizontal="center"/>
    </xf>
    <xf numFmtId="164" fontId="0" fillId="0" borderId="15" xfId="0" applyNumberFormat="1" applyBorder="1"/>
    <xf numFmtId="0" fontId="0" fillId="0" borderId="30" xfId="0" applyBorder="1"/>
    <xf numFmtId="0" fontId="0" fillId="0" borderId="45" xfId="0" applyBorder="1" applyAlignment="1">
      <alignment horizontal="center"/>
    </xf>
    <xf numFmtId="164" fontId="0" fillId="0" borderId="44" xfId="0" applyNumberFormat="1" applyBorder="1"/>
    <xf numFmtId="0" fontId="0" fillId="0" borderId="29" xfId="0" applyBorder="1" applyAlignment="1">
      <alignment horizontal="center"/>
    </xf>
    <xf numFmtId="164" fontId="0" fillId="0" borderId="32" xfId="0" applyNumberFormat="1" applyBorder="1"/>
    <xf numFmtId="0" fontId="4" fillId="0" borderId="34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0" borderId="34" xfId="0" applyFont="1" applyBorder="1"/>
    <xf numFmtId="164" fontId="4" fillId="0" borderId="42" xfId="0" applyNumberFormat="1" applyFont="1" applyBorder="1"/>
    <xf numFmtId="164" fontId="4" fillId="0" borderId="43" xfId="0" applyNumberFormat="1" applyFont="1" applyBorder="1"/>
    <xf numFmtId="0" fontId="0" fillId="0" borderId="23" xfId="0" applyBorder="1" applyAlignment="1">
      <alignment horizontal="center"/>
    </xf>
    <xf numFmtId="0" fontId="0" fillId="0" borderId="17" xfId="0" applyBorder="1"/>
    <xf numFmtId="0" fontId="0" fillId="0" borderId="16" xfId="0" applyBorder="1"/>
    <xf numFmtId="0" fontId="0" fillId="0" borderId="20" xfId="0" applyBorder="1"/>
    <xf numFmtId="0" fontId="0" fillId="0" borderId="23" xfId="0" applyBorder="1"/>
    <xf numFmtId="0" fontId="0" fillId="0" borderId="18" xfId="0" applyBorder="1"/>
    <xf numFmtId="164" fontId="0" fillId="0" borderId="31" xfId="0" applyNumberFormat="1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3" borderId="47" xfId="0" applyFill="1" applyBorder="1" applyAlignment="1">
      <alignment horizontal="center"/>
    </xf>
    <xf numFmtId="0" fontId="0" fillId="3" borderId="48" xfId="0" applyFill="1" applyBorder="1"/>
    <xf numFmtId="164" fontId="0" fillId="3" borderId="49" xfId="0" applyNumberFormat="1" applyFill="1" applyBorder="1"/>
    <xf numFmtId="165" fontId="0" fillId="0" borderId="22" xfId="0" applyNumberFormat="1" applyBorder="1" applyAlignment="1">
      <alignment horizontal="center"/>
    </xf>
    <xf numFmtId="0" fontId="0" fillId="0" borderId="36" xfId="0" applyBorder="1"/>
    <xf numFmtId="165" fontId="0" fillId="3" borderId="22" xfId="0" applyNumberFormat="1" applyFill="1" applyBorder="1" applyAlignment="1">
      <alignment horizontal="center"/>
    </xf>
    <xf numFmtId="164" fontId="0" fillId="0" borderId="30" xfId="0" applyNumberFormat="1" applyBorder="1"/>
    <xf numFmtId="164" fontId="4" fillId="0" borderId="32" xfId="0" applyNumberFormat="1" applyFont="1" applyBorder="1" applyAlignment="1">
      <alignment horizontal="right"/>
    </xf>
    <xf numFmtId="14" fontId="0" fillId="0" borderId="29" xfId="0" applyNumberFormat="1" applyBorder="1" applyAlignment="1">
      <alignment horizontal="center"/>
    </xf>
    <xf numFmtId="164" fontId="0" fillId="0" borderId="28" xfId="0" applyNumberFormat="1" applyBorder="1" applyAlignment="1">
      <alignment horizontal="right"/>
    </xf>
    <xf numFmtId="165" fontId="0" fillId="0" borderId="24" xfId="0" applyNumberFormat="1" applyBorder="1" applyAlignment="1">
      <alignment horizontal="center"/>
    </xf>
    <xf numFmtId="164" fontId="4" fillId="0" borderId="15" xfId="0" applyNumberFormat="1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4" fillId="0" borderId="30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4" fillId="0" borderId="30" xfId="0" applyFont="1" applyBorder="1"/>
    <xf numFmtId="164" fontId="4" fillId="0" borderId="51" xfId="0" applyNumberFormat="1" applyFont="1" applyBorder="1"/>
    <xf numFmtId="164" fontId="4" fillId="0" borderId="52" xfId="0" applyNumberFormat="1" applyFont="1" applyBorder="1"/>
    <xf numFmtId="164" fontId="0" fillId="0" borderId="25" xfId="0" applyNumberFormat="1" applyBorder="1"/>
    <xf numFmtId="165" fontId="0" fillId="0" borderId="33" xfId="0" applyNumberFormat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164" fontId="0" fillId="3" borderId="15" xfId="0" applyNumberFormat="1" applyFill="1" applyBorder="1"/>
    <xf numFmtId="164" fontId="0" fillId="3" borderId="28" xfId="0" applyNumberFormat="1" applyFill="1" applyBorder="1" applyAlignment="1">
      <alignment horizontal="right"/>
    </xf>
    <xf numFmtId="164" fontId="0" fillId="3" borderId="32" xfId="0" applyNumberFormat="1" applyFill="1" applyBorder="1"/>
    <xf numFmtId="0" fontId="4" fillId="0" borderId="27" xfId="0" applyFont="1" applyBorder="1" applyAlignment="1">
      <alignment horizontal="right"/>
    </xf>
    <xf numFmtId="14" fontId="0" fillId="0" borderId="24" xfId="0" applyNumberFormat="1" applyBorder="1" applyAlignment="1">
      <alignment horizontal="center"/>
    </xf>
    <xf numFmtId="0" fontId="4" fillId="0" borderId="34" xfId="0" applyFont="1" applyBorder="1" applyAlignment="1">
      <alignment horizontal="right"/>
    </xf>
    <xf numFmtId="0" fontId="4" fillId="3" borderId="15" xfId="0" applyFont="1" applyFill="1" applyBorder="1" applyAlignment="1">
      <alignment horizontal="right"/>
    </xf>
    <xf numFmtId="0" fontId="0" fillId="0" borderId="27" xfId="0" applyBorder="1"/>
    <xf numFmtId="0" fontId="4" fillId="0" borderId="9" xfId="0" applyFont="1" applyBorder="1" applyAlignment="1">
      <alignment horizontal="right"/>
    </xf>
    <xf numFmtId="0" fontId="4" fillId="0" borderId="15" xfId="0" applyFont="1" applyBorder="1" applyAlignment="1">
      <alignment horizontal="right"/>
    </xf>
    <xf numFmtId="0" fontId="4" fillId="0" borderId="28" xfId="0" applyFont="1" applyBorder="1" applyAlignment="1">
      <alignment horizontal="right"/>
    </xf>
    <xf numFmtId="165" fontId="0" fillId="3" borderId="24" xfId="0" applyNumberFormat="1" applyFill="1" applyBorder="1" applyAlignment="1">
      <alignment horizontal="center"/>
    </xf>
    <xf numFmtId="0" fontId="0" fillId="3" borderId="45" xfId="0" applyFill="1" applyBorder="1" applyAlignment="1">
      <alignment horizontal="center"/>
    </xf>
    <xf numFmtId="0" fontId="0" fillId="3" borderId="30" xfId="0" applyFill="1" applyBorder="1"/>
    <xf numFmtId="164" fontId="0" fillId="3" borderId="44" xfId="0" applyNumberFormat="1" applyFill="1" applyBorder="1"/>
    <xf numFmtId="0" fontId="0" fillId="3" borderId="29" xfId="0" applyFill="1" applyBorder="1" applyAlignment="1">
      <alignment horizontal="center"/>
    </xf>
    <xf numFmtId="0" fontId="0" fillId="0" borderId="10" xfId="0" applyBorder="1"/>
    <xf numFmtId="14" fontId="0" fillId="3" borderId="24" xfId="0" applyNumberFormat="1" applyFill="1" applyBorder="1" applyAlignment="1">
      <alignment horizont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56" xfId="0" applyFont="1" applyFill="1" applyBorder="1" applyAlignment="1">
      <alignment horizontal="center" vertical="center" wrapText="1"/>
    </xf>
    <xf numFmtId="0" fontId="4" fillId="3" borderId="57" xfId="0" applyFont="1" applyFill="1" applyBorder="1" applyAlignment="1">
      <alignment horizontal="center" vertical="center" wrapText="1"/>
    </xf>
    <xf numFmtId="0" fontId="4" fillId="3" borderId="53" xfId="0" applyFont="1" applyFill="1" applyBorder="1" applyAlignment="1">
      <alignment horizontal="center" vertical="center" wrapText="1"/>
    </xf>
    <xf numFmtId="0" fontId="4" fillId="3" borderId="54" xfId="0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B2:K96"/>
  <sheetViews>
    <sheetView workbookViewId="0">
      <pane ySplit="5" topLeftCell="A36" activePane="bottomLeft" state="frozen"/>
      <selection pane="bottomLeft" activeCell="L40" sqref="L40"/>
    </sheetView>
  </sheetViews>
  <sheetFormatPr baseColWidth="10" defaultRowHeight="15" x14ac:dyDescent="0.25"/>
  <cols>
    <col min="1" max="1" width="4.5703125" customWidth="1"/>
    <col min="2" max="2" width="11.85546875" customWidth="1"/>
    <col min="3" max="3" width="43.28515625" bestFit="1" customWidth="1"/>
    <col min="4" max="4" width="14.140625" bestFit="1" customWidth="1"/>
    <col min="6" max="6" width="12.42578125" customWidth="1"/>
    <col min="9" max="9" width="12.42578125" customWidth="1"/>
  </cols>
  <sheetData>
    <row r="2" spans="2:9" ht="15.75" x14ac:dyDescent="0.25">
      <c r="C2" s="21" t="s">
        <v>12</v>
      </c>
    </row>
    <row r="3" spans="2:9" ht="15.75" thickBot="1" x14ac:dyDescent="0.3"/>
    <row r="4" spans="2:9" ht="15.75" thickBot="1" x14ac:dyDescent="0.3">
      <c r="B4" s="125" t="s">
        <v>8</v>
      </c>
      <c r="C4" s="125" t="s">
        <v>7</v>
      </c>
      <c r="D4" s="122" t="s">
        <v>1</v>
      </c>
      <c r="E4" s="123"/>
      <c r="F4" s="124"/>
      <c r="G4" s="122" t="s">
        <v>5</v>
      </c>
      <c r="H4" s="123"/>
      <c r="I4" s="124"/>
    </row>
    <row r="5" spans="2:9" ht="15.75" thickBot="1" x14ac:dyDescent="0.3">
      <c r="B5" s="126"/>
      <c r="C5" s="126"/>
      <c r="D5" s="13" t="s">
        <v>2</v>
      </c>
      <c r="E5" s="13" t="s">
        <v>3</v>
      </c>
      <c r="F5" s="13" t="s">
        <v>4</v>
      </c>
      <c r="G5" s="13" t="s">
        <v>2</v>
      </c>
      <c r="H5" s="13" t="s">
        <v>3</v>
      </c>
      <c r="I5" s="13" t="s">
        <v>4</v>
      </c>
    </row>
    <row r="6" spans="2:9" ht="15.75" thickBot="1" x14ac:dyDescent="0.3"/>
    <row r="7" spans="2:9" ht="20.100000000000001" customHeight="1" x14ac:dyDescent="0.25">
      <c r="B7" s="14"/>
      <c r="C7" s="15" t="s">
        <v>9</v>
      </c>
      <c r="D7" s="16">
        <v>0</v>
      </c>
      <c r="E7" s="15">
        <v>96.571430000000007</v>
      </c>
      <c r="F7" s="18">
        <f>+D7*E7</f>
        <v>0</v>
      </c>
      <c r="G7" s="19"/>
      <c r="H7" s="15"/>
      <c r="I7" s="20"/>
    </row>
    <row r="8" spans="2:9" ht="20.100000000000001" customHeight="1" x14ac:dyDescent="0.25">
      <c r="B8" s="87">
        <v>45674</v>
      </c>
      <c r="C8" s="5" t="s">
        <v>46</v>
      </c>
      <c r="D8" s="6">
        <v>20</v>
      </c>
      <c r="E8" s="5">
        <v>96.571430000000007</v>
      </c>
      <c r="F8" s="8">
        <f>+D8*E8</f>
        <v>1931.4286000000002</v>
      </c>
      <c r="G8" s="9"/>
      <c r="H8" s="5"/>
      <c r="I8" s="10"/>
    </row>
    <row r="9" spans="2:9" ht="20.100000000000001" customHeight="1" x14ac:dyDescent="0.25">
      <c r="B9" s="87">
        <v>45688</v>
      </c>
      <c r="C9" s="5" t="s">
        <v>24</v>
      </c>
      <c r="D9" s="6"/>
      <c r="E9" s="5"/>
      <c r="F9" s="8"/>
      <c r="G9" s="9">
        <v>20</v>
      </c>
      <c r="H9" s="5">
        <v>96.571430000000007</v>
      </c>
      <c r="I9" s="10">
        <f>+G9*H9</f>
        <v>1931.4286000000002</v>
      </c>
    </row>
    <row r="10" spans="2:9" ht="20.100000000000001" customHeight="1" x14ac:dyDescent="0.25">
      <c r="B10" s="87"/>
      <c r="C10" s="25" t="s">
        <v>10</v>
      </c>
      <c r="D10" s="6"/>
      <c r="E10" s="5"/>
      <c r="F10" s="8"/>
      <c r="G10" s="9"/>
      <c r="H10" s="5"/>
      <c r="I10" s="11"/>
    </row>
    <row r="11" spans="2:9" ht="20.100000000000001" customHeight="1" x14ac:dyDescent="0.25">
      <c r="B11" s="43"/>
      <c r="C11" s="44"/>
      <c r="D11" s="45"/>
      <c r="E11" s="44"/>
      <c r="F11" s="46"/>
      <c r="G11" s="47"/>
      <c r="H11" s="44"/>
      <c r="I11" s="91"/>
    </row>
    <row r="12" spans="2:9" ht="20.100000000000001" customHeight="1" x14ac:dyDescent="0.25">
      <c r="B12" s="85">
        <v>45716</v>
      </c>
      <c r="C12" s="44" t="s">
        <v>47</v>
      </c>
      <c r="D12" s="45"/>
      <c r="E12" s="44"/>
      <c r="F12" s="46"/>
      <c r="G12" s="47">
        <v>0</v>
      </c>
      <c r="H12" s="44">
        <v>96.571430000000007</v>
      </c>
      <c r="I12" s="91">
        <f>+G12*H12</f>
        <v>0</v>
      </c>
    </row>
    <row r="13" spans="2:9" ht="20.100000000000001" customHeight="1" x14ac:dyDescent="0.25">
      <c r="B13" s="85"/>
      <c r="C13" s="112" t="s">
        <v>10</v>
      </c>
      <c r="D13" s="45"/>
      <c r="E13" s="44"/>
      <c r="F13" s="46"/>
      <c r="G13" s="47"/>
      <c r="H13" s="44"/>
      <c r="I13" s="48"/>
    </row>
    <row r="14" spans="2:9" ht="20.100000000000001" customHeight="1" x14ac:dyDescent="0.25">
      <c r="B14" s="43"/>
      <c r="C14" s="44"/>
      <c r="D14" s="45"/>
      <c r="E14" s="44"/>
      <c r="F14" s="46"/>
      <c r="G14" s="47"/>
      <c r="H14" s="44"/>
      <c r="I14" s="91"/>
    </row>
    <row r="15" spans="2:9" ht="20.100000000000001" customHeight="1" x14ac:dyDescent="0.25">
      <c r="B15" s="87">
        <v>45747</v>
      </c>
      <c r="C15" s="5" t="s">
        <v>50</v>
      </c>
      <c r="D15" s="6"/>
      <c r="E15" s="5"/>
      <c r="F15" s="8"/>
      <c r="G15" s="9">
        <v>0</v>
      </c>
      <c r="H15" s="5">
        <v>96.571430000000007</v>
      </c>
      <c r="I15" s="10">
        <f>+G15*H15</f>
        <v>0</v>
      </c>
    </row>
    <row r="16" spans="2:9" ht="20.100000000000001" customHeight="1" x14ac:dyDescent="0.25">
      <c r="B16" s="87"/>
      <c r="C16" s="25" t="s">
        <v>10</v>
      </c>
      <c r="D16" s="6"/>
      <c r="E16" s="5"/>
      <c r="F16" s="8"/>
      <c r="G16" s="9"/>
      <c r="H16" s="5"/>
      <c r="I16" s="11"/>
    </row>
    <row r="17" spans="2:9" ht="20.100000000000001" customHeight="1" x14ac:dyDescent="0.25">
      <c r="B17" s="43"/>
      <c r="C17" s="44"/>
      <c r="D17" s="45"/>
      <c r="E17" s="44"/>
      <c r="F17" s="46"/>
      <c r="G17" s="47"/>
      <c r="H17" s="44"/>
      <c r="I17" s="91"/>
    </row>
    <row r="18" spans="2:9" ht="20.100000000000001" customHeight="1" x14ac:dyDescent="0.25">
      <c r="B18" s="85">
        <v>45771</v>
      </c>
      <c r="C18" s="44" t="s">
        <v>53</v>
      </c>
      <c r="D18" s="45">
        <v>20</v>
      </c>
      <c r="E18" s="44">
        <v>96.571430000000007</v>
      </c>
      <c r="F18" s="46">
        <v>1931.4286000000002</v>
      </c>
      <c r="G18" s="47"/>
      <c r="H18" s="44"/>
      <c r="I18" s="48"/>
    </row>
    <row r="19" spans="2:9" ht="20.100000000000001" customHeight="1" x14ac:dyDescent="0.25">
      <c r="B19" s="85">
        <v>45777</v>
      </c>
      <c r="C19" s="44" t="s">
        <v>54</v>
      </c>
      <c r="D19" s="45"/>
      <c r="E19" s="44"/>
      <c r="F19" s="46"/>
      <c r="G19" s="47">
        <v>13</v>
      </c>
      <c r="H19" s="44">
        <v>96.571430000000007</v>
      </c>
      <c r="I19" s="91">
        <f>+G19*H19</f>
        <v>1255.42859</v>
      </c>
    </row>
    <row r="20" spans="2:9" ht="20.100000000000001" customHeight="1" x14ac:dyDescent="0.25">
      <c r="B20" s="85"/>
      <c r="C20" s="112" t="s">
        <v>10</v>
      </c>
      <c r="D20" s="45"/>
      <c r="E20" s="44"/>
      <c r="F20" s="46"/>
      <c r="G20" s="47"/>
      <c r="H20" s="44"/>
      <c r="I20" s="48"/>
    </row>
    <row r="21" spans="2:9" ht="20.100000000000001" customHeight="1" x14ac:dyDescent="0.25">
      <c r="B21" s="43"/>
      <c r="C21" s="44"/>
      <c r="D21" s="45"/>
      <c r="E21" s="44"/>
      <c r="F21" s="46"/>
      <c r="G21" s="47"/>
      <c r="H21" s="44"/>
      <c r="I21" s="91"/>
    </row>
    <row r="22" spans="2:9" ht="20.100000000000001" customHeight="1" x14ac:dyDescent="0.25">
      <c r="B22" s="87">
        <v>45797</v>
      </c>
      <c r="C22" s="5" t="s">
        <v>57</v>
      </c>
      <c r="D22" s="6">
        <v>20</v>
      </c>
      <c r="E22" s="5">
        <v>96.571430000000007</v>
      </c>
      <c r="F22" s="8">
        <f>+D22*E22</f>
        <v>1931.4286000000002</v>
      </c>
      <c r="G22" s="9"/>
      <c r="H22" s="5"/>
      <c r="I22" s="10"/>
    </row>
    <row r="23" spans="2:9" ht="20.100000000000001" customHeight="1" x14ac:dyDescent="0.25">
      <c r="B23" s="87">
        <v>45808</v>
      </c>
      <c r="C23" s="5" t="s">
        <v>58</v>
      </c>
      <c r="D23" s="6"/>
      <c r="E23" s="5"/>
      <c r="F23" s="8"/>
      <c r="G23" s="9">
        <v>16</v>
      </c>
      <c r="H23" s="5">
        <v>96.571430000000007</v>
      </c>
      <c r="I23" s="105">
        <f>+G23*H23</f>
        <v>1545.1428800000001</v>
      </c>
    </row>
    <row r="24" spans="2:9" ht="20.100000000000001" customHeight="1" x14ac:dyDescent="0.25">
      <c r="B24" s="87"/>
      <c r="C24" s="25" t="s">
        <v>10</v>
      </c>
      <c r="D24" s="6"/>
      <c r="E24" s="5"/>
      <c r="F24" s="8"/>
      <c r="G24" s="9"/>
      <c r="H24" s="5"/>
      <c r="I24" s="11"/>
    </row>
    <row r="25" spans="2:9" ht="20.100000000000001" customHeight="1" x14ac:dyDescent="0.25">
      <c r="B25" s="43"/>
      <c r="C25" s="44"/>
      <c r="D25" s="45"/>
      <c r="E25" s="44"/>
      <c r="F25" s="46"/>
      <c r="G25" s="47"/>
      <c r="H25" s="44"/>
      <c r="I25" s="91"/>
    </row>
    <row r="26" spans="2:9" ht="20.100000000000001" customHeight="1" x14ac:dyDescent="0.25">
      <c r="B26" s="85">
        <v>45832</v>
      </c>
      <c r="C26" s="44" t="s">
        <v>62</v>
      </c>
      <c r="D26" s="45">
        <v>20</v>
      </c>
      <c r="E26" s="44">
        <v>96.571430000000007</v>
      </c>
      <c r="F26" s="46">
        <v>1931.4286000000002</v>
      </c>
      <c r="G26" s="47"/>
      <c r="H26" s="44"/>
      <c r="I26" s="48"/>
    </row>
    <row r="27" spans="2:9" ht="20.100000000000001" customHeight="1" x14ac:dyDescent="0.25">
      <c r="B27" s="85">
        <v>45838</v>
      </c>
      <c r="C27" s="44" t="s">
        <v>63</v>
      </c>
      <c r="D27" s="45"/>
      <c r="E27" s="44"/>
      <c r="F27" s="46"/>
      <c r="G27" s="47">
        <v>12</v>
      </c>
      <c r="H27" s="44">
        <v>96.571430000000007</v>
      </c>
      <c r="I27" s="91">
        <f>+G27*H27</f>
        <v>1158.85716</v>
      </c>
    </row>
    <row r="28" spans="2:9" ht="20.100000000000001" customHeight="1" x14ac:dyDescent="0.25">
      <c r="B28" s="85"/>
      <c r="C28" s="112" t="s">
        <v>10</v>
      </c>
      <c r="D28" s="45"/>
      <c r="E28" s="44"/>
      <c r="F28" s="46"/>
      <c r="G28" s="47"/>
      <c r="H28" s="44"/>
      <c r="I28" s="48"/>
    </row>
    <row r="29" spans="2:9" ht="20.100000000000001" customHeight="1" x14ac:dyDescent="0.25">
      <c r="B29" s="43"/>
      <c r="C29" s="44"/>
      <c r="D29" s="45"/>
      <c r="E29" s="44"/>
      <c r="F29" s="46"/>
      <c r="G29" s="47"/>
      <c r="H29" s="44"/>
      <c r="I29" s="91"/>
    </row>
    <row r="30" spans="2:9" ht="20.100000000000001" customHeight="1" x14ac:dyDescent="0.25">
      <c r="B30" s="87">
        <v>45869</v>
      </c>
      <c r="C30" s="5" t="s">
        <v>64</v>
      </c>
      <c r="D30" s="6"/>
      <c r="E30" s="5"/>
      <c r="F30" s="8"/>
      <c r="G30" s="9">
        <v>14</v>
      </c>
      <c r="H30" s="5">
        <v>96.571430000000007</v>
      </c>
      <c r="I30" s="105">
        <f>+G30*H30</f>
        <v>1352.0000200000002</v>
      </c>
    </row>
    <row r="31" spans="2:9" ht="20.100000000000001" customHeight="1" x14ac:dyDescent="0.25">
      <c r="B31" s="87"/>
      <c r="C31" s="25" t="s">
        <v>10</v>
      </c>
      <c r="D31" s="6"/>
      <c r="E31" s="5"/>
      <c r="F31" s="8"/>
      <c r="G31" s="9"/>
      <c r="H31" s="5"/>
      <c r="I31" s="11"/>
    </row>
    <row r="32" spans="2:9" ht="20.100000000000001" customHeight="1" x14ac:dyDescent="0.25">
      <c r="B32" s="43"/>
      <c r="C32" s="44"/>
      <c r="D32" s="45"/>
      <c r="E32" s="44"/>
      <c r="F32" s="46"/>
      <c r="G32" s="47"/>
      <c r="H32" s="44"/>
      <c r="I32" s="91"/>
    </row>
    <row r="33" spans="2:9" ht="20.100000000000001" customHeight="1" x14ac:dyDescent="0.25">
      <c r="B33" s="85">
        <v>45900</v>
      </c>
      <c r="C33" s="44" t="s">
        <v>67</v>
      </c>
      <c r="D33" s="45"/>
      <c r="E33" s="44"/>
      <c r="F33" s="46"/>
      <c r="G33" s="47">
        <v>5</v>
      </c>
      <c r="H33" s="44">
        <v>96.571430000000007</v>
      </c>
      <c r="I33" s="91">
        <f>+G33*H33</f>
        <v>482.85715000000005</v>
      </c>
    </row>
    <row r="34" spans="2:9" ht="20.100000000000001" customHeight="1" x14ac:dyDescent="0.25">
      <c r="B34" s="85"/>
      <c r="C34" s="112" t="s">
        <v>10</v>
      </c>
      <c r="D34" s="45"/>
      <c r="E34" s="44"/>
      <c r="F34" s="46"/>
      <c r="G34" s="47"/>
      <c r="H34" s="44"/>
      <c r="I34" s="48"/>
    </row>
    <row r="35" spans="2:9" ht="20.100000000000001" customHeight="1" x14ac:dyDescent="0.25">
      <c r="B35" s="85"/>
      <c r="C35" s="94"/>
      <c r="D35" s="45"/>
      <c r="E35" s="44"/>
      <c r="F35" s="46"/>
      <c r="G35" s="47"/>
      <c r="H35" s="44"/>
      <c r="I35" s="48"/>
    </row>
    <row r="36" spans="2:9" ht="20.100000000000001" customHeight="1" x14ac:dyDescent="0.25">
      <c r="B36" s="87">
        <v>45930</v>
      </c>
      <c r="C36" s="5" t="s">
        <v>71</v>
      </c>
      <c r="D36" s="6">
        <v>20</v>
      </c>
      <c r="E36" s="5">
        <v>96.571430000000007</v>
      </c>
      <c r="F36" s="8">
        <f>+D36*E36</f>
        <v>1931.4286000000002</v>
      </c>
      <c r="G36" s="9"/>
      <c r="H36" s="5"/>
      <c r="I36" s="10"/>
    </row>
    <row r="37" spans="2:9" ht="20.100000000000001" customHeight="1" x14ac:dyDescent="0.25">
      <c r="B37" s="87">
        <v>45930</v>
      </c>
      <c r="C37" s="5" t="s">
        <v>72</v>
      </c>
      <c r="D37" s="6"/>
      <c r="E37" s="5"/>
      <c r="F37" s="8"/>
      <c r="G37" s="9">
        <v>13</v>
      </c>
      <c r="H37" s="5">
        <v>96.571430000000007</v>
      </c>
      <c r="I37" s="105">
        <f>+G37*H37</f>
        <v>1255.42859</v>
      </c>
    </row>
    <row r="38" spans="2:9" ht="20.100000000000001" customHeight="1" x14ac:dyDescent="0.25">
      <c r="B38" s="87"/>
      <c r="C38" s="25" t="s">
        <v>10</v>
      </c>
      <c r="D38" s="6"/>
      <c r="E38" s="5"/>
      <c r="F38" s="8"/>
      <c r="G38" s="9"/>
      <c r="H38" s="5"/>
      <c r="I38" s="11"/>
    </row>
    <row r="39" spans="2:9" ht="20.100000000000001" customHeight="1" x14ac:dyDescent="0.25">
      <c r="B39" s="43"/>
      <c r="C39" s="44"/>
      <c r="D39" s="45"/>
      <c r="E39" s="44"/>
      <c r="F39" s="46"/>
      <c r="G39" s="47"/>
      <c r="H39" s="44"/>
      <c r="I39" s="91"/>
    </row>
    <row r="40" spans="2:9" ht="20.100000000000001" customHeight="1" x14ac:dyDescent="0.25">
      <c r="B40" s="85">
        <v>45961</v>
      </c>
      <c r="C40" s="44" t="s">
        <v>74</v>
      </c>
      <c r="D40" s="45"/>
      <c r="E40" s="44"/>
      <c r="F40" s="46"/>
      <c r="G40" s="47">
        <v>7</v>
      </c>
      <c r="H40" s="44">
        <v>96.571430000000007</v>
      </c>
      <c r="I40" s="91">
        <f>+G40*H40</f>
        <v>676.00001000000009</v>
      </c>
    </row>
    <row r="41" spans="2:9" ht="20.100000000000001" customHeight="1" x14ac:dyDescent="0.25">
      <c r="B41" s="85"/>
      <c r="C41" s="112" t="s">
        <v>10</v>
      </c>
      <c r="D41" s="45"/>
      <c r="E41" s="44"/>
      <c r="F41" s="46"/>
      <c r="G41" s="47"/>
      <c r="H41" s="44"/>
      <c r="I41" s="48"/>
    </row>
    <row r="42" spans="2:9" ht="20.100000000000001" customHeight="1" x14ac:dyDescent="0.25">
      <c r="B42" s="43"/>
      <c r="C42" s="44"/>
      <c r="D42" s="45"/>
      <c r="E42" s="44"/>
      <c r="F42" s="46"/>
      <c r="G42" s="47"/>
      <c r="H42" s="44"/>
      <c r="I42" s="91"/>
    </row>
    <row r="43" spans="2:9" ht="20.100000000000001" customHeight="1" x14ac:dyDescent="0.25">
      <c r="B43" s="87">
        <v>45991</v>
      </c>
      <c r="C43" s="5" t="s">
        <v>77</v>
      </c>
      <c r="D43" s="6"/>
      <c r="E43" s="5"/>
      <c r="F43" s="8"/>
      <c r="G43" s="9">
        <v>0</v>
      </c>
      <c r="H43" s="5">
        <v>96.571430000000007</v>
      </c>
      <c r="I43" s="105">
        <f>+G43*H43</f>
        <v>0</v>
      </c>
    </row>
    <row r="44" spans="2:9" ht="20.100000000000001" customHeight="1" x14ac:dyDescent="0.25">
      <c r="B44" s="87"/>
      <c r="C44" s="25" t="s">
        <v>10</v>
      </c>
      <c r="D44" s="6"/>
      <c r="E44" s="5"/>
      <c r="F44" s="8"/>
      <c r="G44" s="9"/>
      <c r="H44" s="5"/>
      <c r="I44" s="11"/>
    </row>
    <row r="45" spans="2:9" ht="20.100000000000001" customHeight="1" x14ac:dyDescent="0.25">
      <c r="B45" s="43"/>
      <c r="C45" s="44"/>
      <c r="D45" s="45"/>
      <c r="E45" s="44"/>
      <c r="F45" s="46"/>
      <c r="G45" s="47"/>
      <c r="H45" s="44"/>
      <c r="I45" s="91"/>
    </row>
    <row r="46" spans="2:9" ht="20.100000000000001" customHeight="1" x14ac:dyDescent="0.25">
      <c r="B46" s="85">
        <v>46022</v>
      </c>
      <c r="C46" s="44" t="s">
        <v>81</v>
      </c>
      <c r="D46" s="45"/>
      <c r="E46" s="44"/>
      <c r="F46" s="46"/>
      <c r="G46" s="47">
        <v>0</v>
      </c>
      <c r="H46" s="44">
        <v>96.571430000000007</v>
      </c>
      <c r="I46" s="91">
        <f>+G46*H46</f>
        <v>0</v>
      </c>
    </row>
    <row r="47" spans="2:9" ht="20.100000000000001" customHeight="1" x14ac:dyDescent="0.25">
      <c r="B47" s="85"/>
      <c r="C47" s="112" t="s">
        <v>10</v>
      </c>
      <c r="D47" s="45"/>
      <c r="E47" s="44"/>
      <c r="F47" s="46"/>
      <c r="G47" s="47"/>
      <c r="H47" s="44"/>
      <c r="I47" s="48"/>
    </row>
    <row r="48" spans="2:9" ht="20.100000000000001" customHeight="1" x14ac:dyDescent="0.25">
      <c r="B48" s="43"/>
      <c r="C48" s="44"/>
      <c r="D48" s="45"/>
      <c r="E48" s="44"/>
      <c r="F48" s="46"/>
      <c r="G48" s="47"/>
      <c r="H48" s="44"/>
      <c r="I48" s="91"/>
    </row>
    <row r="49" spans="2:11" ht="20.100000000000001" customHeight="1" x14ac:dyDescent="0.25">
      <c r="B49" s="43"/>
      <c r="C49" s="44"/>
      <c r="D49" s="45"/>
      <c r="E49" s="44"/>
      <c r="F49" s="46"/>
      <c r="G49" s="47"/>
      <c r="H49" s="44"/>
      <c r="I49" s="91"/>
    </row>
    <row r="50" spans="2:11" ht="20.100000000000001" customHeight="1" x14ac:dyDescent="0.25">
      <c r="B50" s="85"/>
      <c r="C50" s="44"/>
      <c r="D50" s="45"/>
      <c r="E50" s="44"/>
      <c r="F50" s="46"/>
      <c r="G50" s="47"/>
      <c r="H50" s="44"/>
      <c r="I50" s="48"/>
    </row>
    <row r="51" spans="2:11" ht="20.100000000000001" customHeight="1" thickBot="1" x14ac:dyDescent="0.3">
      <c r="B51" s="55"/>
      <c r="C51" s="66" t="s">
        <v>6</v>
      </c>
      <c r="D51" s="67">
        <f>SUM(D7:D50)</f>
        <v>100</v>
      </c>
      <c r="E51" s="68"/>
      <c r="F51" s="69">
        <f>SUM(F7:F50)</f>
        <v>9657.143</v>
      </c>
      <c r="G51" s="67">
        <f>SUM(G7:G50)</f>
        <v>100</v>
      </c>
      <c r="H51" s="68"/>
      <c r="I51" s="70">
        <f>SUM(I7:I50)</f>
        <v>9657.143</v>
      </c>
      <c r="J51" s="3"/>
      <c r="K51" s="34"/>
    </row>
    <row r="52" spans="2:11" ht="20.100000000000001" customHeight="1" thickTop="1" thickBot="1" x14ac:dyDescent="0.3">
      <c r="B52" s="71"/>
      <c r="C52" s="72"/>
      <c r="D52" s="73"/>
      <c r="E52" s="72"/>
      <c r="F52" s="74"/>
      <c r="G52" s="75"/>
      <c r="H52" s="72"/>
      <c r="I52" s="76"/>
    </row>
    <row r="53" spans="2:11" ht="20.100000000000001" customHeight="1" x14ac:dyDescent="0.25"/>
    <row r="54" spans="2:11" ht="20.100000000000001" customHeight="1" x14ac:dyDescent="0.25"/>
    <row r="55" spans="2:11" ht="20.100000000000001" customHeight="1" x14ac:dyDescent="0.25"/>
    <row r="56" spans="2:11" ht="20.100000000000001" customHeight="1" x14ac:dyDescent="0.25"/>
    <row r="57" spans="2:11" ht="20.100000000000001" customHeight="1" x14ac:dyDescent="0.25"/>
    <row r="58" spans="2:11" ht="20.100000000000001" customHeight="1" x14ac:dyDescent="0.25"/>
    <row r="59" spans="2:11" ht="20.100000000000001" customHeight="1" x14ac:dyDescent="0.25"/>
    <row r="60" spans="2:11" ht="20.100000000000001" customHeight="1" x14ac:dyDescent="0.25"/>
    <row r="61" spans="2:11" ht="20.100000000000001" customHeight="1" x14ac:dyDescent="0.25"/>
    <row r="62" spans="2:11" ht="20.100000000000001" customHeight="1" x14ac:dyDescent="0.25"/>
    <row r="63" spans="2:11" ht="20.100000000000001" customHeight="1" x14ac:dyDescent="0.25"/>
    <row r="64" spans="2:11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</sheetData>
  <mergeCells count="4">
    <mergeCell ref="D4:F4"/>
    <mergeCell ref="G4:I4"/>
    <mergeCell ref="C4:C5"/>
    <mergeCell ref="B4:B5"/>
  </mergeCells>
  <pageMargins left="0.31496062992125984" right="0.31496062992125984" top="0.55118110236220474" bottom="0.35433070866141736" header="0.31496062992125984" footer="0.31496062992125984"/>
  <pageSetup scale="7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  <pageSetUpPr fitToPage="1"/>
  </sheetPr>
  <dimension ref="B2:K100"/>
  <sheetViews>
    <sheetView workbookViewId="0">
      <pane ySplit="5" topLeftCell="A32" activePane="bottomLeft" state="frozen"/>
      <selection pane="bottomLeft" activeCell="M40" sqref="M40"/>
    </sheetView>
  </sheetViews>
  <sheetFormatPr baseColWidth="10" defaultRowHeight="15" x14ac:dyDescent="0.25"/>
  <cols>
    <col min="1" max="1" width="4.5703125" customWidth="1"/>
    <col min="2" max="2" width="11.85546875" customWidth="1"/>
    <col min="3" max="3" width="43.28515625" bestFit="1" customWidth="1"/>
    <col min="4" max="4" width="14.140625" bestFit="1" customWidth="1"/>
    <col min="6" max="6" width="13.140625" customWidth="1"/>
    <col min="9" max="9" width="12.5703125" customWidth="1"/>
  </cols>
  <sheetData>
    <row r="2" spans="2:9" ht="15.75" x14ac:dyDescent="0.25">
      <c r="C2" s="21" t="s">
        <v>11</v>
      </c>
    </row>
    <row r="3" spans="2:9" ht="15.75" thickBot="1" x14ac:dyDescent="0.3"/>
    <row r="4" spans="2:9" ht="15.75" thickBot="1" x14ac:dyDescent="0.3">
      <c r="B4" s="125" t="s">
        <v>8</v>
      </c>
      <c r="C4" s="125" t="s">
        <v>7</v>
      </c>
      <c r="D4" s="122" t="s">
        <v>1</v>
      </c>
      <c r="E4" s="123"/>
      <c r="F4" s="124"/>
      <c r="G4" s="122" t="s">
        <v>5</v>
      </c>
      <c r="H4" s="123"/>
      <c r="I4" s="124"/>
    </row>
    <row r="5" spans="2:9" ht="15.75" thickBot="1" x14ac:dyDescent="0.3">
      <c r="B5" s="126"/>
      <c r="C5" s="126"/>
      <c r="D5" s="13" t="s">
        <v>2</v>
      </c>
      <c r="E5" s="13" t="s">
        <v>3</v>
      </c>
      <c r="F5" s="13" t="s">
        <v>4</v>
      </c>
      <c r="G5" s="13" t="s">
        <v>2</v>
      </c>
      <c r="H5" s="13" t="s">
        <v>3</v>
      </c>
      <c r="I5" s="13" t="s">
        <v>4</v>
      </c>
    </row>
    <row r="6" spans="2:9" ht="15.75" thickBot="1" x14ac:dyDescent="0.3"/>
    <row r="7" spans="2:9" ht="20.100000000000001" customHeight="1" x14ac:dyDescent="0.25">
      <c r="B7" s="14"/>
      <c r="C7" s="15" t="s">
        <v>9</v>
      </c>
      <c r="D7" s="16">
        <v>5</v>
      </c>
      <c r="E7" s="15">
        <v>96.571430000000007</v>
      </c>
      <c r="F7" s="18">
        <f>+D7*E7</f>
        <v>482.85715000000005</v>
      </c>
      <c r="G7" s="19"/>
      <c r="H7" s="15"/>
      <c r="I7" s="20"/>
    </row>
    <row r="8" spans="2:9" ht="20.100000000000001" customHeight="1" x14ac:dyDescent="0.25">
      <c r="B8" s="87">
        <v>45688</v>
      </c>
      <c r="C8" s="5" t="s">
        <v>24</v>
      </c>
      <c r="D8" s="6"/>
      <c r="E8" s="5"/>
      <c r="F8" s="8"/>
      <c r="G8" s="9">
        <v>5</v>
      </c>
      <c r="H8" s="5">
        <v>96.571430000000007</v>
      </c>
      <c r="I8" s="10">
        <f>+G8*H8</f>
        <v>482.85715000000005</v>
      </c>
    </row>
    <row r="9" spans="2:9" ht="20.100000000000001" customHeight="1" x14ac:dyDescent="0.25">
      <c r="B9" s="87"/>
      <c r="C9" s="25" t="s">
        <v>10</v>
      </c>
      <c r="D9" s="6"/>
      <c r="E9" s="5"/>
      <c r="F9" s="8"/>
      <c r="G9" s="9"/>
      <c r="H9" s="5"/>
      <c r="I9" s="11"/>
    </row>
    <row r="10" spans="2:9" ht="20.100000000000001" customHeight="1" x14ac:dyDescent="0.25">
      <c r="B10" s="43"/>
      <c r="C10" s="44"/>
      <c r="D10" s="45"/>
      <c r="E10" s="44"/>
      <c r="F10" s="46"/>
      <c r="G10" s="47"/>
      <c r="H10" s="44"/>
      <c r="I10" s="48"/>
    </row>
    <row r="11" spans="2:9" ht="20.100000000000001" customHeight="1" x14ac:dyDescent="0.25">
      <c r="B11" s="85">
        <v>45716</v>
      </c>
      <c r="C11" s="44" t="s">
        <v>48</v>
      </c>
      <c r="D11" s="45"/>
      <c r="E11" s="44"/>
      <c r="F11" s="46"/>
      <c r="G11" s="47">
        <v>0</v>
      </c>
      <c r="H11" s="44">
        <v>96.571430000000007</v>
      </c>
      <c r="I11" s="56">
        <f>+G11*H11</f>
        <v>0</v>
      </c>
    </row>
    <row r="12" spans="2:9" ht="20.100000000000001" customHeight="1" x14ac:dyDescent="0.25">
      <c r="B12" s="85"/>
      <c r="C12" s="112" t="s">
        <v>10</v>
      </c>
      <c r="D12" s="45"/>
      <c r="E12" s="44"/>
      <c r="F12" s="46"/>
      <c r="G12" s="47"/>
      <c r="H12" s="44"/>
      <c r="I12" s="48"/>
    </row>
    <row r="13" spans="2:9" ht="20.100000000000001" customHeight="1" x14ac:dyDescent="0.25">
      <c r="B13" s="43"/>
      <c r="C13" s="44"/>
      <c r="D13" s="45"/>
      <c r="E13" s="44"/>
      <c r="F13" s="46"/>
      <c r="G13" s="47"/>
      <c r="H13" s="44"/>
      <c r="I13" s="48"/>
    </row>
    <row r="14" spans="2:9" ht="20.100000000000001" customHeight="1" x14ac:dyDescent="0.25">
      <c r="B14" s="87">
        <v>45747</v>
      </c>
      <c r="C14" s="5" t="s">
        <v>50</v>
      </c>
      <c r="D14" s="6"/>
      <c r="E14" s="5"/>
      <c r="F14" s="8"/>
      <c r="G14" s="9">
        <v>0</v>
      </c>
      <c r="H14" s="5">
        <v>96.571430000000007</v>
      </c>
      <c r="I14" s="10">
        <f>+G14*H14</f>
        <v>0</v>
      </c>
    </row>
    <row r="15" spans="2:9" ht="20.100000000000001" customHeight="1" x14ac:dyDescent="0.25">
      <c r="B15" s="87"/>
      <c r="C15" s="25" t="s">
        <v>10</v>
      </c>
      <c r="D15" s="6"/>
      <c r="E15" s="5"/>
      <c r="F15" s="8"/>
      <c r="G15" s="9"/>
      <c r="H15" s="5"/>
      <c r="I15" s="11"/>
    </row>
    <row r="16" spans="2:9" ht="20.100000000000001" customHeight="1" x14ac:dyDescent="0.25">
      <c r="B16" s="43"/>
      <c r="C16" s="44"/>
      <c r="D16" s="45"/>
      <c r="E16" s="44"/>
      <c r="F16" s="46"/>
      <c r="G16" s="47"/>
      <c r="H16" s="44"/>
      <c r="I16" s="48"/>
    </row>
    <row r="17" spans="2:9" ht="20.100000000000001" customHeight="1" x14ac:dyDescent="0.25">
      <c r="B17" s="85">
        <v>45777</v>
      </c>
      <c r="C17" s="44" t="s">
        <v>55</v>
      </c>
      <c r="D17" s="45"/>
      <c r="E17" s="44"/>
      <c r="F17" s="46"/>
      <c r="G17" s="47">
        <v>0</v>
      </c>
      <c r="H17" s="44">
        <v>96.571430000000007</v>
      </c>
      <c r="I17" s="56">
        <f>+G17*H17</f>
        <v>0</v>
      </c>
    </row>
    <row r="18" spans="2:9" ht="20.100000000000001" customHeight="1" x14ac:dyDescent="0.25">
      <c r="B18" s="85"/>
      <c r="C18" s="112" t="s">
        <v>10</v>
      </c>
      <c r="D18" s="45"/>
      <c r="E18" s="44"/>
      <c r="F18" s="46"/>
      <c r="G18" s="47"/>
      <c r="H18" s="44"/>
      <c r="I18" s="48"/>
    </row>
    <row r="19" spans="2:9" ht="20.100000000000001" customHeight="1" x14ac:dyDescent="0.25">
      <c r="B19" s="43"/>
      <c r="C19" s="44"/>
      <c r="D19" s="45"/>
      <c r="E19" s="44"/>
      <c r="F19" s="46"/>
      <c r="G19" s="47"/>
      <c r="H19" s="44"/>
      <c r="I19" s="48"/>
    </row>
    <row r="20" spans="2:9" ht="20.100000000000001" customHeight="1" x14ac:dyDescent="0.25">
      <c r="B20" s="87">
        <v>45808</v>
      </c>
      <c r="C20" s="5" t="s">
        <v>58</v>
      </c>
      <c r="D20" s="6"/>
      <c r="E20" s="5"/>
      <c r="F20" s="8"/>
      <c r="G20" s="9">
        <v>0</v>
      </c>
      <c r="H20" s="5">
        <v>96.571430000000007</v>
      </c>
      <c r="I20" s="10">
        <f>+G20*H20</f>
        <v>0</v>
      </c>
    </row>
    <row r="21" spans="2:9" ht="20.100000000000001" customHeight="1" x14ac:dyDescent="0.25">
      <c r="B21" s="87"/>
      <c r="C21" s="25" t="s">
        <v>10</v>
      </c>
      <c r="D21" s="6"/>
      <c r="E21" s="5"/>
      <c r="F21" s="8"/>
      <c r="G21" s="9"/>
      <c r="H21" s="5"/>
      <c r="I21" s="11"/>
    </row>
    <row r="22" spans="2:9" ht="20.100000000000001" customHeight="1" x14ac:dyDescent="0.25">
      <c r="B22" s="43"/>
      <c r="C22" s="44"/>
      <c r="D22" s="45"/>
      <c r="E22" s="44"/>
      <c r="F22" s="46"/>
      <c r="G22" s="47"/>
      <c r="H22" s="44"/>
      <c r="I22" s="48"/>
    </row>
    <row r="23" spans="2:9" ht="20.100000000000001" customHeight="1" x14ac:dyDescent="0.25">
      <c r="B23" s="85">
        <v>45838</v>
      </c>
      <c r="C23" s="44" t="s">
        <v>63</v>
      </c>
      <c r="D23" s="45"/>
      <c r="E23" s="44"/>
      <c r="F23" s="46"/>
      <c r="G23" s="47">
        <v>0</v>
      </c>
      <c r="H23" s="44">
        <v>96.571430000000007</v>
      </c>
      <c r="I23" s="56">
        <f>+G23*H23</f>
        <v>0</v>
      </c>
    </row>
    <row r="24" spans="2:9" ht="20.100000000000001" customHeight="1" x14ac:dyDescent="0.25">
      <c r="B24" s="85"/>
      <c r="C24" s="112" t="s">
        <v>10</v>
      </c>
      <c r="D24" s="45"/>
      <c r="E24" s="44"/>
      <c r="F24" s="46"/>
      <c r="G24" s="47"/>
      <c r="H24" s="44"/>
      <c r="I24" s="48"/>
    </row>
    <row r="25" spans="2:9" ht="20.100000000000001" customHeight="1" x14ac:dyDescent="0.25">
      <c r="B25" s="43"/>
      <c r="C25" s="44"/>
      <c r="D25" s="45"/>
      <c r="E25" s="44"/>
      <c r="F25" s="46"/>
      <c r="G25" s="47"/>
      <c r="H25" s="44"/>
      <c r="I25" s="48"/>
    </row>
    <row r="26" spans="2:9" ht="20.100000000000001" customHeight="1" x14ac:dyDescent="0.25">
      <c r="B26" s="87">
        <v>45869</v>
      </c>
      <c r="C26" s="5" t="s">
        <v>65</v>
      </c>
      <c r="D26" s="6"/>
      <c r="E26" s="5"/>
      <c r="F26" s="8"/>
      <c r="G26" s="9">
        <v>0</v>
      </c>
      <c r="H26" s="5">
        <v>96.571430000000007</v>
      </c>
      <c r="I26" s="10">
        <f>+G26*H26</f>
        <v>0</v>
      </c>
    </row>
    <row r="27" spans="2:9" ht="20.100000000000001" customHeight="1" x14ac:dyDescent="0.25">
      <c r="B27" s="87"/>
      <c r="C27" s="25" t="s">
        <v>10</v>
      </c>
      <c r="D27" s="6"/>
      <c r="E27" s="5"/>
      <c r="F27" s="8"/>
      <c r="G27" s="9"/>
      <c r="H27" s="5"/>
      <c r="I27" s="11"/>
    </row>
    <row r="28" spans="2:9" ht="20.100000000000001" customHeight="1" x14ac:dyDescent="0.25">
      <c r="B28" s="43"/>
      <c r="C28" s="44"/>
      <c r="D28" s="45"/>
      <c r="E28" s="44"/>
      <c r="F28" s="46"/>
      <c r="G28" s="47"/>
      <c r="H28" s="44"/>
      <c r="I28" s="48"/>
    </row>
    <row r="29" spans="2:9" ht="20.100000000000001" customHeight="1" x14ac:dyDescent="0.25">
      <c r="B29" s="85">
        <v>45900</v>
      </c>
      <c r="C29" s="44" t="s">
        <v>67</v>
      </c>
      <c r="D29" s="45"/>
      <c r="E29" s="44"/>
      <c r="F29" s="46"/>
      <c r="G29" s="47">
        <v>0</v>
      </c>
      <c r="H29" s="44">
        <v>96.571430000000007</v>
      </c>
      <c r="I29" s="56">
        <f>+G29*H29</f>
        <v>0</v>
      </c>
    </row>
    <row r="30" spans="2:9" ht="20.100000000000001" customHeight="1" x14ac:dyDescent="0.25">
      <c r="B30" s="85"/>
      <c r="C30" s="112" t="s">
        <v>10</v>
      </c>
      <c r="D30" s="45"/>
      <c r="E30" s="44"/>
      <c r="F30" s="46"/>
      <c r="G30" s="47"/>
      <c r="H30" s="44"/>
      <c r="I30" s="48"/>
    </row>
    <row r="31" spans="2:9" ht="20.100000000000001" customHeight="1" x14ac:dyDescent="0.25">
      <c r="B31" s="43"/>
      <c r="C31" s="44"/>
      <c r="D31" s="45"/>
      <c r="E31" s="44"/>
      <c r="F31" s="46"/>
      <c r="G31" s="47"/>
      <c r="H31" s="44"/>
      <c r="I31" s="48"/>
    </row>
    <row r="32" spans="2:9" ht="20.100000000000001" customHeight="1" x14ac:dyDescent="0.25">
      <c r="B32" s="87">
        <v>45930</v>
      </c>
      <c r="C32" s="5" t="s">
        <v>72</v>
      </c>
      <c r="D32" s="6"/>
      <c r="E32" s="5"/>
      <c r="F32" s="8"/>
      <c r="G32" s="9">
        <v>0</v>
      </c>
      <c r="H32" s="5">
        <v>96.571430000000007</v>
      </c>
      <c r="I32" s="10">
        <f>+G32*H32</f>
        <v>0</v>
      </c>
    </row>
    <row r="33" spans="2:11" ht="20.100000000000001" customHeight="1" x14ac:dyDescent="0.25">
      <c r="B33" s="87"/>
      <c r="C33" s="25" t="s">
        <v>10</v>
      </c>
      <c r="D33" s="6"/>
      <c r="E33" s="5"/>
      <c r="F33" s="8"/>
      <c r="G33" s="9"/>
      <c r="H33" s="5"/>
      <c r="I33" s="11"/>
    </row>
    <row r="34" spans="2:11" ht="20.100000000000001" customHeight="1" x14ac:dyDescent="0.25">
      <c r="B34" s="43"/>
      <c r="C34" s="44"/>
      <c r="D34" s="45"/>
      <c r="E34" s="44"/>
      <c r="F34" s="46"/>
      <c r="G34" s="47"/>
      <c r="H34" s="44"/>
      <c r="I34" s="48"/>
    </row>
    <row r="35" spans="2:11" ht="20.100000000000001" customHeight="1" x14ac:dyDescent="0.25">
      <c r="B35" s="85">
        <v>45957</v>
      </c>
      <c r="C35" s="44" t="s">
        <v>75</v>
      </c>
      <c r="D35" s="45">
        <v>20</v>
      </c>
      <c r="E35" s="44">
        <v>96.571430000000007</v>
      </c>
      <c r="F35" s="46">
        <f>+D35*E35</f>
        <v>1931.4286000000002</v>
      </c>
      <c r="G35" s="47"/>
      <c r="H35" s="44"/>
      <c r="I35" s="56"/>
    </row>
    <row r="36" spans="2:11" ht="20.100000000000001" customHeight="1" x14ac:dyDescent="0.25">
      <c r="B36" s="85">
        <v>45961</v>
      </c>
      <c r="C36" s="44" t="s">
        <v>74</v>
      </c>
      <c r="D36" s="45"/>
      <c r="E36" s="44"/>
      <c r="F36" s="46"/>
      <c r="G36" s="47">
        <v>20</v>
      </c>
      <c r="H36" s="44">
        <v>96.571430000000007</v>
      </c>
      <c r="I36" s="56">
        <f>+G36*H36</f>
        <v>1931.4286000000002</v>
      </c>
    </row>
    <row r="37" spans="2:11" ht="20.100000000000001" customHeight="1" x14ac:dyDescent="0.25">
      <c r="B37" s="85"/>
      <c r="C37" s="112" t="s">
        <v>10</v>
      </c>
      <c r="D37" s="45"/>
      <c r="E37" s="44"/>
      <c r="F37" s="46"/>
      <c r="G37" s="47"/>
      <c r="H37" s="44"/>
      <c r="I37" s="48"/>
    </row>
    <row r="38" spans="2:11" ht="20.100000000000001" customHeight="1" x14ac:dyDescent="0.25">
      <c r="B38" s="43"/>
      <c r="C38" s="44"/>
      <c r="D38" s="45"/>
      <c r="E38" s="44"/>
      <c r="F38" s="46"/>
      <c r="G38" s="47"/>
      <c r="H38" s="44"/>
      <c r="I38" s="48"/>
    </row>
    <row r="39" spans="2:11" ht="20.100000000000001" customHeight="1" x14ac:dyDescent="0.25">
      <c r="B39" s="87">
        <v>45991</v>
      </c>
      <c r="C39" s="5" t="s">
        <v>77</v>
      </c>
      <c r="D39" s="6"/>
      <c r="E39" s="5"/>
      <c r="F39" s="8"/>
      <c r="G39" s="9">
        <v>0</v>
      </c>
      <c r="H39" s="5">
        <v>96.571430000000007</v>
      </c>
      <c r="I39" s="10">
        <f>+G39*H39</f>
        <v>0</v>
      </c>
    </row>
    <row r="40" spans="2:11" ht="20.100000000000001" customHeight="1" x14ac:dyDescent="0.25">
      <c r="B40" s="87"/>
      <c r="C40" s="25" t="s">
        <v>10</v>
      </c>
      <c r="D40" s="6"/>
      <c r="E40" s="5"/>
      <c r="F40" s="8"/>
      <c r="G40" s="9"/>
      <c r="H40" s="5"/>
      <c r="I40" s="11"/>
    </row>
    <row r="41" spans="2:11" ht="20.100000000000001" customHeight="1" x14ac:dyDescent="0.25">
      <c r="B41" s="43"/>
      <c r="C41" s="44"/>
      <c r="D41" s="45"/>
      <c r="E41" s="44"/>
      <c r="F41" s="46"/>
      <c r="G41" s="47"/>
      <c r="H41" s="44"/>
      <c r="I41" s="48"/>
    </row>
    <row r="42" spans="2:11" ht="20.100000000000001" customHeight="1" x14ac:dyDescent="0.25">
      <c r="B42" s="85">
        <v>46022</v>
      </c>
      <c r="C42" s="44" t="s">
        <v>81</v>
      </c>
      <c r="D42" s="45"/>
      <c r="E42" s="44"/>
      <c r="F42" s="46"/>
      <c r="G42" s="47">
        <v>0</v>
      </c>
      <c r="H42" s="44">
        <v>96.571430000000007</v>
      </c>
      <c r="I42" s="56">
        <f>+G42*H42</f>
        <v>0</v>
      </c>
    </row>
    <row r="43" spans="2:11" ht="20.100000000000001" customHeight="1" x14ac:dyDescent="0.25">
      <c r="B43" s="85"/>
      <c r="C43" s="112" t="s">
        <v>10</v>
      </c>
      <c r="D43" s="45"/>
      <c r="E43" s="44"/>
      <c r="F43" s="46"/>
      <c r="G43" s="47"/>
      <c r="H43" s="44"/>
      <c r="I43" s="48"/>
    </row>
    <row r="44" spans="2:11" ht="20.100000000000001" customHeight="1" x14ac:dyDescent="0.25">
      <c r="B44" s="43"/>
      <c r="C44" s="44"/>
      <c r="D44" s="45"/>
      <c r="E44" s="44"/>
      <c r="F44" s="46"/>
      <c r="G44" s="47"/>
      <c r="H44" s="44"/>
      <c r="I44" s="48"/>
    </row>
    <row r="45" spans="2:11" ht="20.100000000000001" customHeight="1" x14ac:dyDescent="0.25">
      <c r="B45" s="43"/>
      <c r="C45" s="44"/>
      <c r="D45" s="45"/>
      <c r="E45" s="44"/>
      <c r="F45" s="46"/>
      <c r="G45" s="47"/>
      <c r="H45" s="44"/>
      <c r="I45" s="48"/>
    </row>
    <row r="46" spans="2:11" ht="20.100000000000001" customHeight="1" x14ac:dyDescent="0.25">
      <c r="B46" s="55"/>
      <c r="C46" s="49"/>
      <c r="D46" s="53"/>
      <c r="E46" s="49"/>
      <c r="F46" s="54"/>
      <c r="G46" s="55"/>
      <c r="H46" s="49"/>
      <c r="I46" s="60"/>
    </row>
    <row r="47" spans="2:11" ht="20.100000000000001" customHeight="1" thickBot="1" x14ac:dyDescent="0.3">
      <c r="B47" s="55"/>
      <c r="C47" s="66" t="s">
        <v>6</v>
      </c>
      <c r="D47" s="67">
        <f>SUM(D7:D46)</f>
        <v>25</v>
      </c>
      <c r="E47" s="68"/>
      <c r="F47" s="69">
        <f>SUM(F7:F46)</f>
        <v>2414.28575</v>
      </c>
      <c r="G47" s="67">
        <f>SUM(G7:G46)</f>
        <v>25</v>
      </c>
      <c r="H47" s="68"/>
      <c r="I47" s="70">
        <f>SUM(I7:I46)</f>
        <v>2414.28575</v>
      </c>
      <c r="K47" s="34"/>
    </row>
    <row r="48" spans="2:11" ht="20.100000000000001" customHeight="1" thickTop="1" thickBot="1" x14ac:dyDescent="0.3">
      <c r="B48" s="71"/>
      <c r="C48" s="72"/>
      <c r="D48" s="73"/>
      <c r="E48" s="72"/>
      <c r="F48" s="74"/>
      <c r="G48" s="75"/>
      <c r="H48" s="72"/>
      <c r="I48" s="76"/>
    </row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</sheetData>
  <mergeCells count="4">
    <mergeCell ref="B4:B5"/>
    <mergeCell ref="C4:C5"/>
    <mergeCell ref="D4:F4"/>
    <mergeCell ref="G4:I4"/>
  </mergeCells>
  <pageMargins left="0.31496062992125984" right="0.31496062992125984" top="0.55118110236220474" bottom="0.55118110236220474" header="0.31496062992125984" footer="0.31496062992125984"/>
  <pageSetup scale="7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  <pageSetUpPr fitToPage="1"/>
  </sheetPr>
  <dimension ref="B2:K111"/>
  <sheetViews>
    <sheetView workbookViewId="0">
      <pane ySplit="5" topLeftCell="A42" activePane="bottomLeft" state="frozen"/>
      <selection pane="bottomLeft" activeCell="F55" sqref="F55"/>
    </sheetView>
  </sheetViews>
  <sheetFormatPr baseColWidth="10" defaultRowHeight="15" x14ac:dyDescent="0.25"/>
  <cols>
    <col min="1" max="1" width="4.5703125" customWidth="1"/>
    <col min="2" max="2" width="11.85546875" customWidth="1"/>
    <col min="3" max="3" width="43.28515625" bestFit="1" customWidth="1"/>
    <col min="4" max="4" width="14.140625" bestFit="1" customWidth="1"/>
    <col min="6" max="6" width="12.28515625" customWidth="1"/>
    <col min="9" max="9" width="12.28515625" customWidth="1"/>
  </cols>
  <sheetData>
    <row r="2" spans="2:9" ht="15.75" x14ac:dyDescent="0.25">
      <c r="C2" s="21" t="s">
        <v>14</v>
      </c>
    </row>
    <row r="3" spans="2:9" ht="15.75" thickBot="1" x14ac:dyDescent="0.3"/>
    <row r="4" spans="2:9" ht="15.75" thickBot="1" x14ac:dyDescent="0.3">
      <c r="B4" s="125" t="s">
        <v>8</v>
      </c>
      <c r="C4" s="125" t="s">
        <v>7</v>
      </c>
      <c r="D4" s="122" t="s">
        <v>1</v>
      </c>
      <c r="E4" s="123"/>
      <c r="F4" s="124"/>
      <c r="G4" s="122" t="s">
        <v>5</v>
      </c>
      <c r="H4" s="123"/>
      <c r="I4" s="124"/>
    </row>
    <row r="5" spans="2:9" ht="15.75" thickBot="1" x14ac:dyDescent="0.3">
      <c r="B5" s="126"/>
      <c r="C5" s="126"/>
      <c r="D5" s="13" t="s">
        <v>2</v>
      </c>
      <c r="E5" s="13" t="s">
        <v>3</v>
      </c>
      <c r="F5" s="13" t="s">
        <v>4</v>
      </c>
      <c r="G5" s="13" t="s">
        <v>2</v>
      </c>
      <c r="H5" s="13" t="s">
        <v>3</v>
      </c>
      <c r="I5" s="13" t="s">
        <v>4</v>
      </c>
    </row>
    <row r="6" spans="2:9" ht="15.75" thickBot="1" x14ac:dyDescent="0.3"/>
    <row r="7" spans="2:9" ht="20.100000000000001" customHeight="1" x14ac:dyDescent="0.25">
      <c r="B7" s="14"/>
      <c r="C7" s="15" t="s">
        <v>9</v>
      </c>
      <c r="D7" s="16">
        <v>4</v>
      </c>
      <c r="E7" s="15">
        <v>96.571430000000007</v>
      </c>
      <c r="F7" s="18">
        <f>+D7*E7</f>
        <v>386.28572000000003</v>
      </c>
      <c r="G7" s="19"/>
      <c r="H7" s="17"/>
      <c r="I7" s="20"/>
    </row>
    <row r="8" spans="2:9" ht="20.100000000000001" customHeight="1" x14ac:dyDescent="0.25">
      <c r="B8" s="87">
        <v>45674</v>
      </c>
      <c r="C8" s="5" t="s">
        <v>46</v>
      </c>
      <c r="D8" s="6">
        <v>20</v>
      </c>
      <c r="E8" s="12">
        <v>96.571430000000007</v>
      </c>
      <c r="F8" s="33">
        <f>+D8*E8</f>
        <v>1931.4286000000002</v>
      </c>
      <c r="G8" s="9"/>
      <c r="H8" s="12"/>
      <c r="I8" s="11"/>
    </row>
    <row r="9" spans="2:9" ht="20.100000000000001" customHeight="1" x14ac:dyDescent="0.25">
      <c r="B9" s="87">
        <v>45688</v>
      </c>
      <c r="C9" s="5" t="s">
        <v>24</v>
      </c>
      <c r="D9" s="6"/>
      <c r="E9" s="5"/>
      <c r="F9" s="8"/>
      <c r="G9" s="9">
        <v>24</v>
      </c>
      <c r="H9" s="12">
        <v>96.571430000000007</v>
      </c>
      <c r="I9" s="10">
        <f>+G9*H9</f>
        <v>2317.71432</v>
      </c>
    </row>
    <row r="10" spans="2:9" ht="20.100000000000001" customHeight="1" x14ac:dyDescent="0.25">
      <c r="B10" s="87"/>
      <c r="C10" s="25" t="s">
        <v>10</v>
      </c>
      <c r="D10" s="6"/>
      <c r="E10" s="5"/>
      <c r="F10" s="8"/>
      <c r="G10" s="9"/>
      <c r="H10" s="5"/>
      <c r="I10" s="11"/>
    </row>
    <row r="11" spans="2:9" ht="20.100000000000001" customHeight="1" x14ac:dyDescent="0.25">
      <c r="B11" s="55"/>
      <c r="C11" s="49"/>
      <c r="D11" s="53"/>
      <c r="E11" s="49"/>
      <c r="F11" s="54"/>
      <c r="G11" s="55"/>
      <c r="H11" s="49"/>
      <c r="I11" s="93"/>
    </row>
    <row r="12" spans="2:9" ht="20.100000000000001" customHeight="1" x14ac:dyDescent="0.25">
      <c r="B12" s="85">
        <v>45700</v>
      </c>
      <c r="C12" s="44" t="s">
        <v>49</v>
      </c>
      <c r="D12" s="45">
        <v>20</v>
      </c>
      <c r="E12" s="49">
        <v>96.571430000000007</v>
      </c>
      <c r="F12" s="54">
        <f>+D12*E12</f>
        <v>1931.4286000000002</v>
      </c>
      <c r="G12" s="47"/>
      <c r="H12" s="49"/>
      <c r="I12" s="48"/>
    </row>
    <row r="13" spans="2:9" ht="20.100000000000001" customHeight="1" x14ac:dyDescent="0.25">
      <c r="B13" s="85">
        <v>45716</v>
      </c>
      <c r="C13" s="44" t="s">
        <v>47</v>
      </c>
      <c r="D13" s="45"/>
      <c r="E13" s="44"/>
      <c r="F13" s="46"/>
      <c r="G13" s="47">
        <v>20</v>
      </c>
      <c r="H13" s="49">
        <v>96.571430000000007</v>
      </c>
      <c r="I13" s="56">
        <f>+G13*H13</f>
        <v>1931.4286000000002</v>
      </c>
    </row>
    <row r="14" spans="2:9" ht="20.100000000000001" customHeight="1" x14ac:dyDescent="0.25">
      <c r="B14" s="85"/>
      <c r="C14" s="112" t="s">
        <v>10</v>
      </c>
      <c r="D14" s="45"/>
      <c r="E14" s="44"/>
      <c r="F14" s="46"/>
      <c r="G14" s="47"/>
      <c r="H14" s="44"/>
      <c r="I14" s="48"/>
    </row>
    <row r="15" spans="2:9" ht="20.100000000000001" customHeight="1" x14ac:dyDescent="0.25">
      <c r="B15" s="47"/>
      <c r="C15" s="44"/>
      <c r="D15" s="45"/>
      <c r="E15" s="44"/>
      <c r="F15" s="46"/>
      <c r="G15" s="47"/>
      <c r="H15" s="44"/>
      <c r="I15" s="48"/>
    </row>
    <row r="16" spans="2:9" ht="20.100000000000001" customHeight="1" x14ac:dyDescent="0.25">
      <c r="B16" s="87">
        <v>45729</v>
      </c>
      <c r="C16" s="5" t="s">
        <v>51</v>
      </c>
      <c r="D16" s="6">
        <v>20</v>
      </c>
      <c r="E16" s="12">
        <v>96.571430000000007</v>
      </c>
      <c r="F16" s="33">
        <f>+D16*E16</f>
        <v>1931.4286000000002</v>
      </c>
      <c r="G16" s="9"/>
      <c r="H16" s="12"/>
      <c r="I16" s="11"/>
    </row>
    <row r="17" spans="2:9" ht="20.100000000000001" customHeight="1" x14ac:dyDescent="0.25">
      <c r="B17" s="87">
        <v>45747</v>
      </c>
      <c r="C17" s="5" t="s">
        <v>50</v>
      </c>
      <c r="D17" s="6"/>
      <c r="E17" s="5"/>
      <c r="F17" s="8"/>
      <c r="G17" s="9">
        <v>15</v>
      </c>
      <c r="H17" s="12">
        <v>96.571430000000007</v>
      </c>
      <c r="I17" s="10">
        <f>+G17*H17</f>
        <v>1448.5714500000001</v>
      </c>
    </row>
    <row r="18" spans="2:9" ht="20.100000000000001" customHeight="1" x14ac:dyDescent="0.25">
      <c r="B18" s="87"/>
      <c r="C18" s="25" t="s">
        <v>10</v>
      </c>
      <c r="D18" s="6"/>
      <c r="E18" s="5"/>
      <c r="F18" s="8"/>
      <c r="G18" s="9"/>
      <c r="H18" s="5"/>
      <c r="I18" s="11"/>
    </row>
    <row r="19" spans="2:9" ht="20.100000000000001" customHeight="1" x14ac:dyDescent="0.25">
      <c r="B19" s="47"/>
      <c r="C19" s="44"/>
      <c r="D19" s="45"/>
      <c r="E19" s="44"/>
      <c r="F19" s="46"/>
      <c r="G19" s="47"/>
      <c r="H19" s="44"/>
      <c r="I19" s="48"/>
    </row>
    <row r="20" spans="2:9" ht="20.100000000000001" customHeight="1" x14ac:dyDescent="0.25">
      <c r="B20" s="85">
        <v>45771</v>
      </c>
      <c r="C20" s="44" t="s">
        <v>53</v>
      </c>
      <c r="D20" s="45">
        <v>20</v>
      </c>
      <c r="E20" s="49">
        <v>96.571430000000007</v>
      </c>
      <c r="F20" s="54">
        <f>+D20*E20</f>
        <v>1931.4286000000002</v>
      </c>
      <c r="G20" s="47"/>
      <c r="H20" s="49"/>
      <c r="I20" s="48"/>
    </row>
    <row r="21" spans="2:9" ht="20.100000000000001" customHeight="1" x14ac:dyDescent="0.25">
      <c r="B21" s="85">
        <v>45777</v>
      </c>
      <c r="C21" s="44" t="s">
        <v>54</v>
      </c>
      <c r="D21" s="45"/>
      <c r="E21" s="44"/>
      <c r="F21" s="46"/>
      <c r="G21" s="47">
        <v>22</v>
      </c>
      <c r="H21" s="49">
        <v>96.571430000000007</v>
      </c>
      <c r="I21" s="56">
        <f>+G21*H21</f>
        <v>2124.5714600000001</v>
      </c>
    </row>
    <row r="22" spans="2:9" ht="20.100000000000001" customHeight="1" x14ac:dyDescent="0.25">
      <c r="B22" s="85"/>
      <c r="C22" s="112" t="s">
        <v>10</v>
      </c>
      <c r="D22" s="45"/>
      <c r="E22" s="44"/>
      <c r="F22" s="46"/>
      <c r="G22" s="47"/>
      <c r="H22" s="44"/>
      <c r="I22" s="48"/>
    </row>
    <row r="23" spans="2:9" ht="20.100000000000001" customHeight="1" x14ac:dyDescent="0.25">
      <c r="B23" s="47"/>
      <c r="C23" s="44"/>
      <c r="D23" s="45"/>
      <c r="E23" s="44"/>
      <c r="F23" s="46"/>
      <c r="G23" s="47"/>
      <c r="H23" s="44"/>
      <c r="I23" s="48"/>
    </row>
    <row r="24" spans="2:9" ht="20.100000000000001" customHeight="1" x14ac:dyDescent="0.25">
      <c r="B24" s="87">
        <v>45805</v>
      </c>
      <c r="C24" s="5" t="s">
        <v>59</v>
      </c>
      <c r="D24" s="6">
        <v>20</v>
      </c>
      <c r="E24" s="12">
        <v>96.571430000000007</v>
      </c>
      <c r="F24" s="33">
        <f>+D24*E24</f>
        <v>1931.4286000000002</v>
      </c>
      <c r="G24" s="9"/>
      <c r="H24" s="12"/>
      <c r="I24" s="11"/>
    </row>
    <row r="25" spans="2:9" ht="20.100000000000001" customHeight="1" x14ac:dyDescent="0.25">
      <c r="B25" s="87">
        <v>45808</v>
      </c>
      <c r="C25" s="5" t="s">
        <v>60</v>
      </c>
      <c r="D25" s="6"/>
      <c r="E25" s="5"/>
      <c r="F25" s="8"/>
      <c r="G25" s="9">
        <v>20</v>
      </c>
      <c r="H25" s="12">
        <v>96.571430000000007</v>
      </c>
      <c r="I25" s="10">
        <f>+G25*H25</f>
        <v>1931.4286000000002</v>
      </c>
    </row>
    <row r="26" spans="2:9" ht="20.100000000000001" customHeight="1" x14ac:dyDescent="0.25">
      <c r="B26" s="87"/>
      <c r="C26" s="25" t="s">
        <v>10</v>
      </c>
      <c r="D26" s="6"/>
      <c r="E26" s="5"/>
      <c r="F26" s="8"/>
      <c r="G26" s="9"/>
      <c r="H26" s="5"/>
      <c r="I26" s="11"/>
    </row>
    <row r="27" spans="2:9" ht="20.100000000000001" customHeight="1" x14ac:dyDescent="0.25">
      <c r="B27" s="47"/>
      <c r="C27" s="44"/>
      <c r="D27" s="45"/>
      <c r="E27" s="44"/>
      <c r="F27" s="46"/>
      <c r="G27" s="47"/>
      <c r="H27" s="44"/>
      <c r="I27" s="48"/>
    </row>
    <row r="28" spans="2:9" ht="20.100000000000001" customHeight="1" x14ac:dyDescent="0.25">
      <c r="B28" s="85">
        <v>45832</v>
      </c>
      <c r="C28" s="44" t="s">
        <v>62</v>
      </c>
      <c r="D28" s="45">
        <v>20</v>
      </c>
      <c r="E28" s="49">
        <v>96.571430000000007</v>
      </c>
      <c r="F28" s="54">
        <f>+D28*E28</f>
        <v>1931.4286000000002</v>
      </c>
      <c r="G28" s="47"/>
      <c r="H28" s="49"/>
      <c r="I28" s="48"/>
    </row>
    <row r="29" spans="2:9" ht="20.100000000000001" customHeight="1" x14ac:dyDescent="0.25">
      <c r="B29" s="85">
        <v>45838</v>
      </c>
      <c r="C29" s="44" t="s">
        <v>63</v>
      </c>
      <c r="D29" s="45"/>
      <c r="E29" s="44"/>
      <c r="F29" s="46"/>
      <c r="G29" s="47">
        <v>19</v>
      </c>
      <c r="H29" s="49">
        <v>96.571430000000007</v>
      </c>
      <c r="I29" s="56">
        <f>+G29*H29</f>
        <v>1834.8571700000002</v>
      </c>
    </row>
    <row r="30" spans="2:9" ht="20.100000000000001" customHeight="1" x14ac:dyDescent="0.25">
      <c r="B30" s="85"/>
      <c r="C30" s="112" t="s">
        <v>10</v>
      </c>
      <c r="D30" s="45"/>
      <c r="E30" s="44"/>
      <c r="F30" s="46"/>
      <c r="G30" s="47"/>
      <c r="H30" s="44"/>
      <c r="I30" s="48"/>
    </row>
    <row r="31" spans="2:9" ht="20.100000000000001" customHeight="1" x14ac:dyDescent="0.25">
      <c r="B31" s="47"/>
      <c r="C31" s="44"/>
      <c r="D31" s="45"/>
      <c r="E31" s="44"/>
      <c r="F31" s="46"/>
      <c r="G31" s="47"/>
      <c r="H31" s="44"/>
      <c r="I31" s="48"/>
    </row>
    <row r="32" spans="2:9" ht="20.100000000000001" customHeight="1" x14ac:dyDescent="0.25">
      <c r="B32" s="87">
        <v>45859</v>
      </c>
      <c r="C32" s="5" t="s">
        <v>66</v>
      </c>
      <c r="D32" s="6">
        <v>20</v>
      </c>
      <c r="E32" s="12">
        <v>96.571430000000007</v>
      </c>
      <c r="F32" s="33">
        <f>+D32*E32</f>
        <v>1931.4286000000002</v>
      </c>
      <c r="G32" s="9"/>
      <c r="H32" s="12"/>
      <c r="I32" s="11"/>
    </row>
    <row r="33" spans="2:9" ht="20.100000000000001" customHeight="1" x14ac:dyDescent="0.25">
      <c r="B33" s="87">
        <v>45869</v>
      </c>
      <c r="C33" s="5" t="s">
        <v>64</v>
      </c>
      <c r="D33" s="6"/>
      <c r="E33" s="5"/>
      <c r="F33" s="8"/>
      <c r="G33" s="9">
        <v>17</v>
      </c>
      <c r="H33" s="12">
        <v>96.571430000000007</v>
      </c>
      <c r="I33" s="10">
        <f>+G33*H33</f>
        <v>1641.7143100000001</v>
      </c>
    </row>
    <row r="34" spans="2:9" ht="20.100000000000001" customHeight="1" x14ac:dyDescent="0.25">
      <c r="B34" s="87"/>
      <c r="C34" s="25" t="s">
        <v>10</v>
      </c>
      <c r="D34" s="6"/>
      <c r="E34" s="5"/>
      <c r="F34" s="8"/>
      <c r="G34" s="9"/>
      <c r="H34" s="5"/>
      <c r="I34" s="11"/>
    </row>
    <row r="35" spans="2:9" ht="20.100000000000001" customHeight="1" x14ac:dyDescent="0.25">
      <c r="B35" s="47"/>
      <c r="C35" s="44"/>
      <c r="D35" s="45"/>
      <c r="E35" s="44"/>
      <c r="F35" s="46"/>
      <c r="G35" s="47"/>
      <c r="H35" s="44"/>
      <c r="I35" s="48"/>
    </row>
    <row r="36" spans="2:9" ht="20.100000000000001" customHeight="1" x14ac:dyDescent="0.25">
      <c r="B36" s="85">
        <v>45898</v>
      </c>
      <c r="C36" s="44" t="s">
        <v>68</v>
      </c>
      <c r="D36" s="45">
        <v>20</v>
      </c>
      <c r="E36" s="49">
        <v>96.571430000000007</v>
      </c>
      <c r="F36" s="54">
        <f>+D36*E36</f>
        <v>1931.4286000000002</v>
      </c>
      <c r="G36" s="47"/>
      <c r="H36" s="49"/>
      <c r="I36" s="48"/>
    </row>
    <row r="37" spans="2:9" ht="20.100000000000001" customHeight="1" x14ac:dyDescent="0.25">
      <c r="B37" s="85">
        <v>45900</v>
      </c>
      <c r="C37" s="44" t="s">
        <v>67</v>
      </c>
      <c r="D37" s="45"/>
      <c r="E37" s="44"/>
      <c r="F37" s="46"/>
      <c r="G37" s="47">
        <v>27</v>
      </c>
      <c r="H37" s="49">
        <v>96.571430000000007</v>
      </c>
      <c r="I37" s="56">
        <f>+G37*H37</f>
        <v>2607.4286100000004</v>
      </c>
    </row>
    <row r="38" spans="2:9" ht="20.100000000000001" customHeight="1" x14ac:dyDescent="0.25">
      <c r="B38" s="85"/>
      <c r="C38" s="112" t="s">
        <v>10</v>
      </c>
      <c r="D38" s="45"/>
      <c r="E38" s="44"/>
      <c r="F38" s="46"/>
      <c r="G38" s="47"/>
      <c r="H38" s="44"/>
      <c r="I38" s="48"/>
    </row>
    <row r="39" spans="2:9" ht="20.100000000000001" customHeight="1" x14ac:dyDescent="0.25">
      <c r="B39" s="47"/>
      <c r="C39" s="44"/>
      <c r="D39" s="45"/>
      <c r="E39" s="44"/>
      <c r="F39" s="46"/>
      <c r="G39" s="47"/>
      <c r="H39" s="44"/>
      <c r="I39" s="48"/>
    </row>
    <row r="40" spans="2:9" ht="20.100000000000001" customHeight="1" x14ac:dyDescent="0.25">
      <c r="B40" s="87">
        <v>45930</v>
      </c>
      <c r="C40" s="5" t="s">
        <v>71</v>
      </c>
      <c r="D40" s="6">
        <v>20</v>
      </c>
      <c r="E40" s="12">
        <v>96.571430000000007</v>
      </c>
      <c r="F40" s="33">
        <f>+D40*E40</f>
        <v>1931.4286000000002</v>
      </c>
      <c r="G40" s="9"/>
      <c r="H40" s="12"/>
      <c r="I40" s="11"/>
    </row>
    <row r="41" spans="2:9" ht="20.100000000000001" customHeight="1" x14ac:dyDescent="0.25">
      <c r="B41" s="87">
        <v>45930</v>
      </c>
      <c r="C41" s="5" t="s">
        <v>72</v>
      </c>
      <c r="D41" s="6"/>
      <c r="E41" s="5"/>
      <c r="F41" s="8"/>
      <c r="G41" s="9">
        <v>20</v>
      </c>
      <c r="H41" s="12">
        <v>96.571430000000007</v>
      </c>
      <c r="I41" s="10">
        <f>+G41*H41</f>
        <v>1931.4286000000002</v>
      </c>
    </row>
    <row r="42" spans="2:9" ht="20.100000000000001" customHeight="1" x14ac:dyDescent="0.25">
      <c r="B42" s="87"/>
      <c r="C42" s="25" t="s">
        <v>10</v>
      </c>
      <c r="D42" s="6"/>
      <c r="E42" s="5"/>
      <c r="F42" s="8"/>
      <c r="G42" s="9"/>
      <c r="H42" s="5"/>
      <c r="I42" s="11"/>
    </row>
    <row r="43" spans="2:9" ht="20.100000000000001" customHeight="1" x14ac:dyDescent="0.25">
      <c r="B43" s="47"/>
      <c r="C43" s="44"/>
      <c r="D43" s="45"/>
      <c r="E43" s="44"/>
      <c r="F43" s="46"/>
      <c r="G43" s="47"/>
      <c r="H43" s="44"/>
      <c r="I43" s="48"/>
    </row>
    <row r="44" spans="2:9" ht="20.100000000000001" customHeight="1" x14ac:dyDescent="0.25">
      <c r="B44" s="85">
        <v>45961</v>
      </c>
      <c r="C44" s="44" t="s">
        <v>76</v>
      </c>
      <c r="D44" s="45"/>
      <c r="E44" s="44"/>
      <c r="F44" s="46"/>
      <c r="G44" s="47">
        <v>0</v>
      </c>
      <c r="H44" s="49">
        <v>96.571430000000007</v>
      </c>
      <c r="I44" s="56">
        <f>+G44*H44</f>
        <v>0</v>
      </c>
    </row>
    <row r="45" spans="2:9" ht="20.100000000000001" customHeight="1" x14ac:dyDescent="0.25">
      <c r="B45" s="85"/>
      <c r="C45" s="112" t="s">
        <v>10</v>
      </c>
      <c r="D45" s="45"/>
      <c r="E45" s="44"/>
      <c r="F45" s="46"/>
      <c r="G45" s="47"/>
      <c r="H45" s="44"/>
      <c r="I45" s="48"/>
    </row>
    <row r="46" spans="2:9" ht="20.100000000000001" customHeight="1" x14ac:dyDescent="0.25">
      <c r="B46" s="47"/>
      <c r="C46" s="44"/>
      <c r="D46" s="45"/>
      <c r="E46" s="44"/>
      <c r="F46" s="46"/>
      <c r="G46" s="47"/>
      <c r="H46" s="44"/>
      <c r="I46" s="48"/>
    </row>
    <row r="47" spans="2:9" ht="20.100000000000001" customHeight="1" x14ac:dyDescent="0.25">
      <c r="B47" s="87">
        <v>45966</v>
      </c>
      <c r="C47" s="5" t="s">
        <v>78</v>
      </c>
      <c r="D47" s="6">
        <v>20</v>
      </c>
      <c r="E47" s="12">
        <v>96.571430000000007</v>
      </c>
      <c r="F47" s="33">
        <f>+D47*E47</f>
        <v>1931.4286000000002</v>
      </c>
      <c r="G47" s="9"/>
      <c r="H47" s="12"/>
      <c r="I47" s="11"/>
    </row>
    <row r="48" spans="2:9" ht="20.100000000000001" customHeight="1" x14ac:dyDescent="0.25">
      <c r="B48" s="87">
        <v>45991</v>
      </c>
      <c r="C48" s="5" t="s">
        <v>77</v>
      </c>
      <c r="D48" s="6"/>
      <c r="E48" s="5"/>
      <c r="F48" s="8"/>
      <c r="G48" s="9">
        <v>20</v>
      </c>
      <c r="H48" s="12">
        <v>96.571430000000007</v>
      </c>
      <c r="I48" s="10">
        <f>+G48*H48</f>
        <v>1931.4286000000002</v>
      </c>
    </row>
    <row r="49" spans="2:11" ht="20.100000000000001" customHeight="1" x14ac:dyDescent="0.25">
      <c r="B49" s="87"/>
      <c r="C49" s="25" t="s">
        <v>10</v>
      </c>
      <c r="D49" s="6"/>
      <c r="E49" s="5"/>
      <c r="F49" s="8"/>
      <c r="G49" s="9"/>
      <c r="H49" s="5"/>
      <c r="I49" s="11"/>
    </row>
    <row r="50" spans="2:11" ht="20.100000000000001" customHeight="1" x14ac:dyDescent="0.25">
      <c r="B50" s="47"/>
      <c r="C50" s="44"/>
      <c r="D50" s="45"/>
      <c r="E50" s="44"/>
      <c r="F50" s="46"/>
      <c r="G50" s="47"/>
      <c r="H50" s="44"/>
      <c r="I50" s="48"/>
    </row>
    <row r="51" spans="2:11" ht="20.100000000000001" customHeight="1" x14ac:dyDescent="0.25">
      <c r="B51" s="85">
        <v>46000</v>
      </c>
      <c r="C51" s="44" t="s">
        <v>82</v>
      </c>
      <c r="D51" s="45">
        <v>20</v>
      </c>
      <c r="E51" s="49">
        <v>96.571430000000007</v>
      </c>
      <c r="F51" s="54">
        <f>+D51*E51</f>
        <v>1931.4286000000002</v>
      </c>
      <c r="G51" s="47"/>
      <c r="H51" s="49"/>
      <c r="I51" s="48"/>
    </row>
    <row r="52" spans="2:11" ht="20.100000000000001" customHeight="1" x14ac:dyDescent="0.25">
      <c r="B52" s="85">
        <v>46022</v>
      </c>
      <c r="C52" s="44" t="s">
        <v>81</v>
      </c>
      <c r="D52" s="45"/>
      <c r="E52" s="44"/>
      <c r="F52" s="46"/>
      <c r="G52" s="47">
        <v>20</v>
      </c>
      <c r="H52" s="49">
        <v>96.571430000000007</v>
      </c>
      <c r="I52" s="56">
        <f>+G52*H52</f>
        <v>1931.4286000000002</v>
      </c>
    </row>
    <row r="53" spans="2:11" ht="20.100000000000001" customHeight="1" x14ac:dyDescent="0.25">
      <c r="B53" s="85"/>
      <c r="C53" s="112" t="s">
        <v>10</v>
      </c>
      <c r="D53" s="45"/>
      <c r="E53" s="44"/>
      <c r="F53" s="46"/>
      <c r="G53" s="47"/>
      <c r="H53" s="44"/>
      <c r="I53" s="48"/>
    </row>
    <row r="54" spans="2:11" ht="20.100000000000001" customHeight="1" x14ac:dyDescent="0.25">
      <c r="B54" s="47"/>
      <c r="C54" s="44"/>
      <c r="D54" s="45"/>
      <c r="E54" s="44"/>
      <c r="F54" s="46"/>
      <c r="G54" s="47"/>
      <c r="H54" s="44"/>
      <c r="I54" s="48"/>
    </row>
    <row r="55" spans="2:11" ht="20.100000000000001" customHeight="1" x14ac:dyDescent="0.25">
      <c r="B55" s="47"/>
      <c r="C55" s="44"/>
      <c r="D55" s="45"/>
      <c r="E55" s="44"/>
      <c r="F55" s="46"/>
      <c r="G55" s="47"/>
      <c r="H55" s="44"/>
      <c r="I55" s="48"/>
    </row>
    <row r="56" spans="2:11" ht="20.100000000000001" customHeight="1" x14ac:dyDescent="0.25">
      <c r="B56" s="55"/>
      <c r="C56" s="49"/>
      <c r="D56" s="53"/>
      <c r="E56" s="49"/>
      <c r="F56" s="54"/>
      <c r="G56" s="55"/>
      <c r="H56" s="49"/>
      <c r="I56" s="93"/>
    </row>
    <row r="57" spans="2:11" ht="20.100000000000001" customHeight="1" x14ac:dyDescent="0.25">
      <c r="B57" s="47"/>
      <c r="C57" s="61"/>
      <c r="D57" s="62"/>
      <c r="E57" s="61"/>
      <c r="F57" s="63"/>
      <c r="G57" s="64"/>
      <c r="H57" s="61"/>
      <c r="I57" s="89"/>
    </row>
    <row r="58" spans="2:11" ht="20.100000000000001" customHeight="1" thickBot="1" x14ac:dyDescent="0.3">
      <c r="B58" s="55"/>
      <c r="C58" s="66" t="s">
        <v>6</v>
      </c>
      <c r="D58" s="67">
        <f>SUM(D7:D57)</f>
        <v>224</v>
      </c>
      <c r="E58" s="68"/>
      <c r="F58" s="69">
        <f>SUM(F7:F57)</f>
        <v>21632.000319999996</v>
      </c>
      <c r="G58" s="67">
        <f>SUM(G7:G57)</f>
        <v>224</v>
      </c>
      <c r="H58" s="68"/>
      <c r="I58" s="70">
        <f>SUM(I7:I57)</f>
        <v>21632.000319999999</v>
      </c>
      <c r="K58" s="34"/>
    </row>
    <row r="59" spans="2:11" ht="20.100000000000001" customHeight="1" thickTop="1" thickBot="1" x14ac:dyDescent="0.3">
      <c r="B59" s="71"/>
      <c r="C59" s="72"/>
      <c r="D59" s="73"/>
      <c r="E59" s="72"/>
      <c r="F59" s="74"/>
      <c r="G59" s="75"/>
      <c r="H59" s="72"/>
      <c r="I59" s="76"/>
    </row>
    <row r="60" spans="2:11" ht="20.100000000000001" customHeight="1" x14ac:dyDescent="0.25"/>
    <row r="61" spans="2:11" ht="20.100000000000001" customHeight="1" x14ac:dyDescent="0.25"/>
    <row r="62" spans="2:11" ht="20.100000000000001" customHeight="1" x14ac:dyDescent="0.25"/>
    <row r="63" spans="2:11" ht="20.100000000000001" customHeight="1" x14ac:dyDescent="0.25"/>
    <row r="64" spans="2:11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</sheetData>
  <mergeCells count="4">
    <mergeCell ref="B4:B5"/>
    <mergeCell ref="C4:C5"/>
    <mergeCell ref="D4:F4"/>
    <mergeCell ref="G4:I4"/>
  </mergeCells>
  <pageMargins left="0.31496062992125984" right="0.31496062992125984" top="0.55118110236220474" bottom="0.35433070866141736" header="0.31496062992125984" footer="0.31496062992125984"/>
  <pageSetup scale="7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  <pageSetUpPr fitToPage="1"/>
  </sheetPr>
  <dimension ref="B2:K101"/>
  <sheetViews>
    <sheetView workbookViewId="0">
      <pane ySplit="5" topLeftCell="A36" activePane="bottomLeft" state="frozen"/>
      <selection pane="bottomLeft" activeCell="F46" sqref="F46"/>
    </sheetView>
  </sheetViews>
  <sheetFormatPr baseColWidth="10" defaultRowHeight="15" x14ac:dyDescent="0.25"/>
  <cols>
    <col min="1" max="1" width="4.5703125" customWidth="1"/>
    <col min="2" max="2" width="11.85546875" customWidth="1"/>
    <col min="3" max="3" width="43.28515625" bestFit="1" customWidth="1"/>
    <col min="4" max="4" width="14.140625" bestFit="1" customWidth="1"/>
    <col min="6" max="6" width="12.140625" customWidth="1"/>
    <col min="9" max="9" width="12.28515625" customWidth="1"/>
  </cols>
  <sheetData>
    <row r="2" spans="2:9" ht="15.75" x14ac:dyDescent="0.25">
      <c r="C2" s="21" t="s">
        <v>13</v>
      </c>
    </row>
    <row r="3" spans="2:9" ht="15.75" thickBot="1" x14ac:dyDescent="0.3"/>
    <row r="4" spans="2:9" ht="15.75" thickBot="1" x14ac:dyDescent="0.3">
      <c r="B4" s="125" t="s">
        <v>8</v>
      </c>
      <c r="C4" s="125" t="s">
        <v>7</v>
      </c>
      <c r="D4" s="122" t="s">
        <v>1</v>
      </c>
      <c r="E4" s="123"/>
      <c r="F4" s="124"/>
      <c r="G4" s="122" t="s">
        <v>5</v>
      </c>
      <c r="H4" s="123"/>
      <c r="I4" s="124"/>
    </row>
    <row r="5" spans="2:9" ht="15.75" thickBot="1" x14ac:dyDescent="0.3">
      <c r="B5" s="126"/>
      <c r="C5" s="126"/>
      <c r="D5" s="13" t="s">
        <v>2</v>
      </c>
      <c r="E5" s="13" t="s">
        <v>3</v>
      </c>
      <c r="F5" s="13" t="s">
        <v>4</v>
      </c>
      <c r="G5" s="13" t="s">
        <v>2</v>
      </c>
      <c r="H5" s="13" t="s">
        <v>3</v>
      </c>
      <c r="I5" s="13" t="s">
        <v>4</v>
      </c>
    </row>
    <row r="6" spans="2:9" ht="15.75" thickBot="1" x14ac:dyDescent="0.3"/>
    <row r="7" spans="2:9" ht="20.100000000000001" customHeight="1" x14ac:dyDescent="0.25">
      <c r="B7" s="14"/>
      <c r="C7" s="15" t="s">
        <v>9</v>
      </c>
      <c r="D7" s="16">
        <v>1</v>
      </c>
      <c r="E7" s="15">
        <v>96.571430000000007</v>
      </c>
      <c r="F7" s="18">
        <f>+D7*E7</f>
        <v>96.571430000000007</v>
      </c>
      <c r="G7" s="19"/>
      <c r="H7" s="15"/>
      <c r="I7" s="20"/>
    </row>
    <row r="8" spans="2:9" ht="20.100000000000001" customHeight="1" x14ac:dyDescent="0.25">
      <c r="B8" s="87">
        <v>45688</v>
      </c>
      <c r="C8" s="5" t="s">
        <v>24</v>
      </c>
      <c r="D8" s="6"/>
      <c r="E8" s="5"/>
      <c r="F8" s="8"/>
      <c r="G8" s="6">
        <v>1</v>
      </c>
      <c r="H8" s="5">
        <v>96.571430000000007</v>
      </c>
      <c r="I8" s="105">
        <f>+G8*H8</f>
        <v>96.571430000000007</v>
      </c>
    </row>
    <row r="9" spans="2:9" ht="20.100000000000001" customHeight="1" x14ac:dyDescent="0.25">
      <c r="B9" s="4"/>
      <c r="C9" s="24" t="s">
        <v>10</v>
      </c>
      <c r="D9" s="6"/>
      <c r="E9" s="5"/>
      <c r="F9" s="8"/>
      <c r="G9" s="9"/>
      <c r="H9" s="5"/>
      <c r="I9" s="11"/>
    </row>
    <row r="10" spans="2:9" ht="20.100000000000001" customHeight="1" x14ac:dyDescent="0.25">
      <c r="B10" s="85"/>
      <c r="C10" s="94"/>
      <c r="D10" s="45"/>
      <c r="E10" s="44"/>
      <c r="F10" s="46"/>
      <c r="G10" s="47"/>
      <c r="H10" s="44"/>
      <c r="I10" s="48"/>
    </row>
    <row r="11" spans="2:9" ht="20.100000000000001" customHeight="1" x14ac:dyDescent="0.25">
      <c r="B11" s="85">
        <v>45700</v>
      </c>
      <c r="C11" s="44" t="s">
        <v>49</v>
      </c>
      <c r="D11" s="45">
        <v>20</v>
      </c>
      <c r="E11" s="49">
        <v>96.571430000000007</v>
      </c>
      <c r="F11" s="54">
        <f>+D11*E11</f>
        <v>1931.4286000000002</v>
      </c>
      <c r="G11" s="47"/>
      <c r="H11" s="49"/>
      <c r="I11" s="48"/>
    </row>
    <row r="12" spans="2:9" ht="20.100000000000001" customHeight="1" x14ac:dyDescent="0.25">
      <c r="B12" s="85">
        <v>45716</v>
      </c>
      <c r="C12" s="44" t="s">
        <v>47</v>
      </c>
      <c r="D12" s="45"/>
      <c r="E12" s="44"/>
      <c r="F12" s="46"/>
      <c r="G12" s="47">
        <v>20</v>
      </c>
      <c r="H12" s="49">
        <v>96.571430000000007</v>
      </c>
      <c r="I12" s="56">
        <f>+G12*H12</f>
        <v>1931.4286000000002</v>
      </c>
    </row>
    <row r="13" spans="2:9" ht="20.100000000000001" customHeight="1" x14ac:dyDescent="0.25">
      <c r="B13" s="85"/>
      <c r="C13" s="112" t="s">
        <v>10</v>
      </c>
      <c r="D13" s="45"/>
      <c r="E13" s="44"/>
      <c r="F13" s="46"/>
      <c r="G13" s="47"/>
      <c r="H13" s="44"/>
      <c r="I13" s="48"/>
    </row>
    <row r="14" spans="2:9" ht="20.100000000000001" customHeight="1" x14ac:dyDescent="0.25">
      <c r="B14" s="85"/>
      <c r="C14" s="94"/>
      <c r="D14" s="45"/>
      <c r="E14" s="44"/>
      <c r="F14" s="46"/>
      <c r="G14" s="47"/>
      <c r="H14" s="44"/>
      <c r="I14" s="48"/>
    </row>
    <row r="15" spans="2:9" ht="20.100000000000001" customHeight="1" x14ac:dyDescent="0.25">
      <c r="B15" s="87">
        <v>45747</v>
      </c>
      <c r="C15" s="5" t="s">
        <v>50</v>
      </c>
      <c r="D15" s="6"/>
      <c r="E15" s="5"/>
      <c r="F15" s="8"/>
      <c r="G15" s="6">
        <v>0</v>
      </c>
      <c r="H15" s="5">
        <v>96.571430000000007</v>
      </c>
      <c r="I15" s="105">
        <f>+G15*H15</f>
        <v>0</v>
      </c>
    </row>
    <row r="16" spans="2:9" ht="20.100000000000001" customHeight="1" x14ac:dyDescent="0.25">
      <c r="B16" s="4"/>
      <c r="C16" s="24" t="s">
        <v>10</v>
      </c>
      <c r="D16" s="6"/>
      <c r="E16" s="5"/>
      <c r="F16" s="8"/>
      <c r="G16" s="9"/>
      <c r="H16" s="5"/>
      <c r="I16" s="11"/>
    </row>
    <row r="17" spans="2:9" ht="20.100000000000001" customHeight="1" x14ac:dyDescent="0.25">
      <c r="B17" s="85"/>
      <c r="C17" s="94"/>
      <c r="D17" s="45"/>
      <c r="E17" s="44"/>
      <c r="F17" s="46"/>
      <c r="G17" s="47"/>
      <c r="H17" s="44"/>
      <c r="I17" s="48"/>
    </row>
    <row r="18" spans="2:9" ht="20.100000000000001" customHeight="1" x14ac:dyDescent="0.25">
      <c r="B18" s="85">
        <v>45777</v>
      </c>
      <c r="C18" s="44" t="s">
        <v>54</v>
      </c>
      <c r="D18" s="45"/>
      <c r="E18" s="44"/>
      <c r="F18" s="46"/>
      <c r="G18" s="47">
        <v>0</v>
      </c>
      <c r="H18" s="49">
        <v>96.571430000000007</v>
      </c>
      <c r="I18" s="56">
        <f>+G18*H18</f>
        <v>0</v>
      </c>
    </row>
    <row r="19" spans="2:9" ht="20.100000000000001" customHeight="1" x14ac:dyDescent="0.25">
      <c r="B19" s="85"/>
      <c r="C19" s="112" t="s">
        <v>10</v>
      </c>
      <c r="D19" s="45"/>
      <c r="E19" s="44"/>
      <c r="F19" s="46"/>
      <c r="G19" s="47"/>
      <c r="H19" s="44"/>
      <c r="I19" s="48"/>
    </row>
    <row r="20" spans="2:9" ht="20.100000000000001" customHeight="1" x14ac:dyDescent="0.25">
      <c r="B20" s="85"/>
      <c r="C20" s="94"/>
      <c r="D20" s="45"/>
      <c r="E20" s="44"/>
      <c r="F20" s="46"/>
      <c r="G20" s="47"/>
      <c r="H20" s="44"/>
      <c r="I20" s="48"/>
    </row>
    <row r="21" spans="2:9" ht="20.100000000000001" customHeight="1" x14ac:dyDescent="0.25">
      <c r="B21" s="87">
        <v>45797</v>
      </c>
      <c r="C21" s="5" t="s">
        <v>57</v>
      </c>
      <c r="D21" s="6">
        <v>20</v>
      </c>
      <c r="E21" s="5">
        <v>96.571430000000007</v>
      </c>
      <c r="F21" s="8">
        <f>+D21*E21</f>
        <v>1931.4286000000002</v>
      </c>
      <c r="G21" s="9"/>
      <c r="H21" s="5"/>
      <c r="I21" s="10"/>
    </row>
    <row r="22" spans="2:9" ht="20.100000000000001" customHeight="1" x14ac:dyDescent="0.25">
      <c r="B22" s="87">
        <v>45808</v>
      </c>
      <c r="C22" s="5" t="s">
        <v>60</v>
      </c>
      <c r="D22" s="6"/>
      <c r="E22" s="5"/>
      <c r="F22" s="8"/>
      <c r="G22" s="6">
        <v>12</v>
      </c>
      <c r="H22" s="5">
        <v>96.571430000000007</v>
      </c>
      <c r="I22" s="105">
        <f>+G22*H22</f>
        <v>1158.85716</v>
      </c>
    </row>
    <row r="23" spans="2:9" ht="20.100000000000001" customHeight="1" x14ac:dyDescent="0.25">
      <c r="B23" s="4"/>
      <c r="C23" s="24" t="s">
        <v>10</v>
      </c>
      <c r="D23" s="6"/>
      <c r="E23" s="5"/>
      <c r="F23" s="8"/>
      <c r="G23" s="9"/>
      <c r="H23" s="5"/>
      <c r="I23" s="11"/>
    </row>
    <row r="24" spans="2:9" ht="20.100000000000001" customHeight="1" x14ac:dyDescent="0.25">
      <c r="B24" s="85"/>
      <c r="C24" s="94"/>
      <c r="D24" s="45"/>
      <c r="E24" s="44"/>
      <c r="F24" s="46"/>
      <c r="G24" s="47"/>
      <c r="H24" s="44"/>
      <c r="I24" s="48"/>
    </row>
    <row r="25" spans="2:9" ht="20.100000000000001" customHeight="1" x14ac:dyDescent="0.25">
      <c r="B25" s="85">
        <v>45838</v>
      </c>
      <c r="C25" s="44" t="s">
        <v>63</v>
      </c>
      <c r="D25" s="45"/>
      <c r="E25" s="44"/>
      <c r="F25" s="46"/>
      <c r="G25" s="47">
        <v>8</v>
      </c>
      <c r="H25" s="49">
        <v>96.571430000000007</v>
      </c>
      <c r="I25" s="56">
        <f>+G25*H25</f>
        <v>772.57144000000005</v>
      </c>
    </row>
    <row r="26" spans="2:9" ht="20.100000000000001" customHeight="1" x14ac:dyDescent="0.25">
      <c r="B26" s="85"/>
      <c r="C26" s="112" t="s">
        <v>10</v>
      </c>
      <c r="D26" s="45"/>
      <c r="E26" s="44"/>
      <c r="F26" s="46"/>
      <c r="G26" s="47"/>
      <c r="H26" s="44"/>
      <c r="I26" s="48"/>
    </row>
    <row r="27" spans="2:9" ht="20.100000000000001" customHeight="1" x14ac:dyDescent="0.25">
      <c r="B27" s="85"/>
      <c r="C27" s="94"/>
      <c r="D27" s="45"/>
      <c r="E27" s="44"/>
      <c r="F27" s="46"/>
      <c r="G27" s="47"/>
      <c r="H27" s="44"/>
      <c r="I27" s="48"/>
    </row>
    <row r="28" spans="2:9" ht="20.100000000000001" customHeight="1" x14ac:dyDescent="0.25">
      <c r="B28" s="87">
        <v>45859</v>
      </c>
      <c r="C28" s="5" t="s">
        <v>66</v>
      </c>
      <c r="D28" s="6">
        <v>20</v>
      </c>
      <c r="E28" s="5">
        <v>96.571430000000007</v>
      </c>
      <c r="F28" s="8">
        <f>+D28*E28</f>
        <v>1931.4286000000002</v>
      </c>
      <c r="G28" s="9"/>
      <c r="H28" s="5"/>
      <c r="I28" s="10"/>
    </row>
    <row r="29" spans="2:9" ht="20.100000000000001" customHeight="1" x14ac:dyDescent="0.25">
      <c r="B29" s="87">
        <v>45869</v>
      </c>
      <c r="C29" s="5" t="s">
        <v>64</v>
      </c>
      <c r="D29" s="6"/>
      <c r="E29" s="5"/>
      <c r="F29" s="8"/>
      <c r="G29" s="6">
        <v>11</v>
      </c>
      <c r="H29" s="5">
        <v>96.571430000000007</v>
      </c>
      <c r="I29" s="105">
        <f>+G29*H29</f>
        <v>1062.2857300000001</v>
      </c>
    </row>
    <row r="30" spans="2:9" ht="20.100000000000001" customHeight="1" x14ac:dyDescent="0.25">
      <c r="B30" s="4"/>
      <c r="C30" s="24" t="s">
        <v>10</v>
      </c>
      <c r="D30" s="6"/>
      <c r="E30" s="5"/>
      <c r="F30" s="8"/>
      <c r="G30" s="9"/>
      <c r="H30" s="5"/>
      <c r="I30" s="11"/>
    </row>
    <row r="31" spans="2:9" ht="20.100000000000001" customHeight="1" x14ac:dyDescent="0.25">
      <c r="B31" s="85"/>
      <c r="C31" s="94"/>
      <c r="D31" s="45"/>
      <c r="E31" s="44"/>
      <c r="F31" s="46"/>
      <c r="G31" s="47"/>
      <c r="H31" s="44"/>
      <c r="I31" s="48"/>
    </row>
    <row r="32" spans="2:9" ht="20.100000000000001" customHeight="1" x14ac:dyDescent="0.25">
      <c r="B32" s="85">
        <v>45900</v>
      </c>
      <c r="C32" s="44" t="s">
        <v>67</v>
      </c>
      <c r="D32" s="45"/>
      <c r="E32" s="44"/>
      <c r="F32" s="46"/>
      <c r="G32" s="47">
        <v>9</v>
      </c>
      <c r="H32" s="49">
        <v>96.571430000000007</v>
      </c>
      <c r="I32" s="56">
        <f>+G32*H32</f>
        <v>869.14287000000002</v>
      </c>
    </row>
    <row r="33" spans="2:9" ht="20.100000000000001" customHeight="1" x14ac:dyDescent="0.25">
      <c r="B33" s="85"/>
      <c r="C33" s="112" t="s">
        <v>10</v>
      </c>
      <c r="D33" s="45"/>
      <c r="E33" s="44"/>
      <c r="F33" s="46"/>
      <c r="G33" s="47"/>
      <c r="H33" s="44"/>
      <c r="I33" s="48"/>
    </row>
    <row r="34" spans="2:9" ht="20.100000000000001" customHeight="1" x14ac:dyDescent="0.25">
      <c r="B34" s="85"/>
      <c r="C34" s="94"/>
      <c r="D34" s="45"/>
      <c r="E34" s="44"/>
      <c r="F34" s="46"/>
      <c r="G34" s="47"/>
      <c r="H34" s="44"/>
      <c r="I34" s="48"/>
    </row>
    <row r="35" spans="2:9" ht="20.100000000000001" customHeight="1" x14ac:dyDescent="0.25">
      <c r="B35" s="87">
        <v>45930</v>
      </c>
      <c r="C35" s="5" t="s">
        <v>73</v>
      </c>
      <c r="D35" s="6"/>
      <c r="E35" s="5"/>
      <c r="F35" s="8"/>
      <c r="G35" s="6">
        <v>0</v>
      </c>
      <c r="H35" s="5">
        <v>96.571430000000007</v>
      </c>
      <c r="I35" s="105">
        <f>+G35*H35</f>
        <v>0</v>
      </c>
    </row>
    <row r="36" spans="2:9" ht="20.100000000000001" customHeight="1" x14ac:dyDescent="0.25">
      <c r="B36" s="4"/>
      <c r="C36" s="24" t="s">
        <v>10</v>
      </c>
      <c r="D36" s="6"/>
      <c r="E36" s="5"/>
      <c r="F36" s="8"/>
      <c r="G36" s="9"/>
      <c r="H36" s="5"/>
      <c r="I36" s="11"/>
    </row>
    <row r="37" spans="2:9" ht="20.100000000000001" customHeight="1" x14ac:dyDescent="0.25">
      <c r="B37" s="85"/>
      <c r="C37" s="94"/>
      <c r="D37" s="45"/>
      <c r="E37" s="44"/>
      <c r="F37" s="46"/>
      <c r="G37" s="47"/>
      <c r="H37" s="44"/>
      <c r="I37" s="48"/>
    </row>
    <row r="38" spans="2:9" ht="20.100000000000001" customHeight="1" x14ac:dyDescent="0.25">
      <c r="B38" s="85">
        <v>45957</v>
      </c>
      <c r="C38" s="44" t="s">
        <v>75</v>
      </c>
      <c r="D38" s="45">
        <v>20</v>
      </c>
      <c r="E38" s="44">
        <v>96.571430000000007</v>
      </c>
      <c r="F38" s="46">
        <f>+D38*E38</f>
        <v>1931.4286000000002</v>
      </c>
      <c r="G38" s="47"/>
      <c r="H38" s="44"/>
      <c r="I38" s="56"/>
    </row>
    <row r="39" spans="2:9" ht="20.100000000000001" customHeight="1" x14ac:dyDescent="0.25">
      <c r="B39" s="85">
        <v>45961</v>
      </c>
      <c r="C39" s="44" t="s">
        <v>74</v>
      </c>
      <c r="D39" s="45"/>
      <c r="E39" s="44"/>
      <c r="F39" s="46"/>
      <c r="G39" s="47">
        <v>13</v>
      </c>
      <c r="H39" s="44">
        <v>96.571430000000007</v>
      </c>
      <c r="I39" s="56">
        <f>+G39*H39</f>
        <v>1255.42859</v>
      </c>
    </row>
    <row r="40" spans="2:9" ht="20.100000000000001" customHeight="1" x14ac:dyDescent="0.25">
      <c r="B40" s="85"/>
      <c r="C40" s="112" t="s">
        <v>10</v>
      </c>
      <c r="D40" s="45"/>
      <c r="E40" s="44"/>
      <c r="F40" s="46"/>
      <c r="G40" s="47"/>
      <c r="H40" s="44"/>
      <c r="I40" s="48"/>
    </row>
    <row r="41" spans="2:9" ht="20.100000000000001" customHeight="1" x14ac:dyDescent="0.25">
      <c r="B41" s="85"/>
      <c r="C41" s="94"/>
      <c r="D41" s="45"/>
      <c r="E41" s="44"/>
      <c r="F41" s="46"/>
      <c r="G41" s="47"/>
      <c r="H41" s="44"/>
      <c r="I41" s="48"/>
    </row>
    <row r="42" spans="2:9" ht="20.100000000000001" customHeight="1" x14ac:dyDescent="0.25">
      <c r="B42" s="87">
        <v>45991</v>
      </c>
      <c r="C42" s="5" t="s">
        <v>77</v>
      </c>
      <c r="D42" s="6"/>
      <c r="E42" s="5"/>
      <c r="F42" s="8"/>
      <c r="G42" s="6">
        <v>7</v>
      </c>
      <c r="H42" s="5">
        <v>96.571430000000007</v>
      </c>
      <c r="I42" s="105">
        <f>+G42*H42</f>
        <v>676.00001000000009</v>
      </c>
    </row>
    <row r="43" spans="2:9" ht="20.100000000000001" customHeight="1" x14ac:dyDescent="0.25">
      <c r="B43" s="4"/>
      <c r="C43" s="24" t="s">
        <v>10</v>
      </c>
      <c r="D43" s="6"/>
      <c r="E43" s="5"/>
      <c r="F43" s="8"/>
      <c r="G43" s="9"/>
      <c r="H43" s="5"/>
      <c r="I43" s="11"/>
    </row>
    <row r="44" spans="2:9" ht="20.100000000000001" customHeight="1" x14ac:dyDescent="0.25">
      <c r="B44" s="85"/>
      <c r="C44" s="94"/>
      <c r="D44" s="45"/>
      <c r="E44" s="44"/>
      <c r="F44" s="46"/>
      <c r="G44" s="47"/>
      <c r="H44" s="44"/>
      <c r="I44" s="48"/>
    </row>
    <row r="45" spans="2:9" ht="20.100000000000001" customHeight="1" x14ac:dyDescent="0.25">
      <c r="B45" s="85">
        <v>46022</v>
      </c>
      <c r="C45" s="44" t="s">
        <v>81</v>
      </c>
      <c r="D45" s="45"/>
      <c r="E45" s="44"/>
      <c r="F45" s="46"/>
      <c r="G45" s="47">
        <v>0</v>
      </c>
      <c r="H45" s="44">
        <v>96.571430000000007</v>
      </c>
      <c r="I45" s="56">
        <f>+G45*H45</f>
        <v>0</v>
      </c>
    </row>
    <row r="46" spans="2:9" ht="20.100000000000001" customHeight="1" x14ac:dyDescent="0.25">
      <c r="B46" s="85"/>
      <c r="C46" s="112" t="s">
        <v>10</v>
      </c>
      <c r="D46" s="45"/>
      <c r="E46" s="44"/>
      <c r="F46" s="46"/>
      <c r="G46" s="47"/>
      <c r="H46" s="44"/>
      <c r="I46" s="48"/>
    </row>
    <row r="47" spans="2:9" ht="20.100000000000001" customHeight="1" x14ac:dyDescent="0.25">
      <c r="B47" s="85"/>
      <c r="C47" s="94"/>
      <c r="D47" s="45"/>
      <c r="E47" s="44"/>
      <c r="F47" s="46"/>
      <c r="G47" s="47"/>
      <c r="H47" s="44"/>
      <c r="I47" s="48"/>
    </row>
    <row r="48" spans="2:9" ht="20.100000000000001" customHeight="1" x14ac:dyDescent="0.25">
      <c r="B48" s="85"/>
      <c r="C48" s="94"/>
      <c r="D48" s="45"/>
      <c r="E48" s="44"/>
      <c r="F48" s="46"/>
      <c r="G48" s="47"/>
      <c r="H48" s="44"/>
      <c r="I48" s="48"/>
    </row>
    <row r="49" spans="2:11" ht="20.100000000000001" customHeight="1" x14ac:dyDescent="0.25">
      <c r="B49" s="85"/>
      <c r="C49" s="44"/>
      <c r="D49" s="45"/>
      <c r="E49" s="44"/>
      <c r="F49" s="46"/>
      <c r="G49" s="47"/>
      <c r="H49" s="44"/>
      <c r="I49" s="48"/>
    </row>
    <row r="50" spans="2:11" ht="20.100000000000001" customHeight="1" thickBot="1" x14ac:dyDescent="0.3">
      <c r="B50" s="55"/>
      <c r="C50" s="66" t="s">
        <v>6</v>
      </c>
      <c r="D50" s="67">
        <f>SUM(D7:D49)</f>
        <v>81</v>
      </c>
      <c r="E50" s="68"/>
      <c r="F50" s="69">
        <f>SUM(F7:F49)</f>
        <v>7822.2858300000007</v>
      </c>
      <c r="G50" s="67">
        <f>SUM(G7:G49)</f>
        <v>81</v>
      </c>
      <c r="H50" s="68"/>
      <c r="I50" s="70">
        <f>SUM(I7:I49)</f>
        <v>7822.2858299999989</v>
      </c>
      <c r="K50" s="34"/>
    </row>
    <row r="51" spans="2:11" ht="20.100000000000001" customHeight="1" thickTop="1" thickBot="1" x14ac:dyDescent="0.3">
      <c r="B51" s="71"/>
      <c r="C51" s="72"/>
      <c r="D51" s="73"/>
      <c r="E51" s="72"/>
      <c r="F51" s="74"/>
      <c r="G51" s="75"/>
      <c r="H51" s="72"/>
      <c r="I51" s="76"/>
    </row>
    <row r="52" spans="2:11" ht="20.100000000000001" customHeight="1" x14ac:dyDescent="0.25"/>
    <row r="53" spans="2:11" ht="20.100000000000001" customHeight="1" x14ac:dyDescent="0.25"/>
    <row r="54" spans="2:11" ht="20.100000000000001" customHeight="1" x14ac:dyDescent="0.25"/>
    <row r="55" spans="2:11" ht="20.100000000000001" customHeight="1" x14ac:dyDescent="0.25"/>
    <row r="56" spans="2:11" ht="20.100000000000001" customHeight="1" x14ac:dyDescent="0.25"/>
    <row r="57" spans="2:11" ht="20.100000000000001" customHeight="1" x14ac:dyDescent="0.25"/>
    <row r="58" spans="2:11" ht="20.100000000000001" customHeight="1" x14ac:dyDescent="0.25"/>
    <row r="59" spans="2:11" ht="20.100000000000001" customHeight="1" x14ac:dyDescent="0.25"/>
    <row r="60" spans="2:11" ht="20.100000000000001" customHeight="1" x14ac:dyDescent="0.25"/>
    <row r="61" spans="2:11" ht="20.100000000000001" customHeight="1" x14ac:dyDescent="0.25"/>
    <row r="62" spans="2:11" ht="20.100000000000001" customHeight="1" x14ac:dyDescent="0.25"/>
    <row r="63" spans="2:11" ht="20.100000000000001" customHeight="1" x14ac:dyDescent="0.25"/>
    <row r="64" spans="2:11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</sheetData>
  <mergeCells count="4">
    <mergeCell ref="B4:B5"/>
    <mergeCell ref="C4:C5"/>
    <mergeCell ref="D4:F4"/>
    <mergeCell ref="G4:I4"/>
  </mergeCells>
  <pageMargins left="0.31496062992125984" right="0.31496062992125984" top="0.55118110236220474" bottom="0.55118110236220474" header="0.31496062992125984" footer="0.31496062992125984"/>
  <pageSetup scale="7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39997558519241921"/>
    <pageSetUpPr fitToPage="1"/>
  </sheetPr>
  <dimension ref="B2:K109"/>
  <sheetViews>
    <sheetView workbookViewId="0">
      <pane ySplit="5" topLeftCell="A36" activePane="bottomLeft" state="frozen"/>
      <selection pane="bottomLeft" activeCell="C46" sqref="C46"/>
    </sheetView>
  </sheetViews>
  <sheetFormatPr baseColWidth="10" defaultRowHeight="15" x14ac:dyDescent="0.25"/>
  <cols>
    <col min="1" max="1" width="4.5703125" customWidth="1"/>
    <col min="2" max="2" width="11.85546875" customWidth="1"/>
    <col min="3" max="3" width="43.28515625" bestFit="1" customWidth="1"/>
    <col min="4" max="4" width="14.140625" bestFit="1" customWidth="1"/>
    <col min="6" max="6" width="12.140625" customWidth="1"/>
    <col min="9" max="9" width="11.85546875" customWidth="1"/>
  </cols>
  <sheetData>
    <row r="2" spans="2:9" ht="15.75" x14ac:dyDescent="0.25">
      <c r="C2" s="21" t="s">
        <v>15</v>
      </c>
    </row>
    <row r="3" spans="2:9" ht="15.75" thickBot="1" x14ac:dyDescent="0.3"/>
    <row r="4" spans="2:9" ht="15.75" thickBot="1" x14ac:dyDescent="0.3">
      <c r="B4" s="127" t="s">
        <v>8</v>
      </c>
      <c r="C4" s="127" t="s">
        <v>7</v>
      </c>
      <c r="D4" s="129" t="s">
        <v>1</v>
      </c>
      <c r="E4" s="130"/>
      <c r="F4" s="131"/>
      <c r="G4" s="129" t="s">
        <v>5</v>
      </c>
      <c r="H4" s="130"/>
      <c r="I4" s="131"/>
    </row>
    <row r="5" spans="2:9" ht="15.75" thickBot="1" x14ac:dyDescent="0.3">
      <c r="B5" s="128"/>
      <c r="C5" s="128"/>
      <c r="D5" s="13" t="s">
        <v>2</v>
      </c>
      <c r="E5" s="13" t="s">
        <v>3</v>
      </c>
      <c r="F5" s="13" t="s">
        <v>4</v>
      </c>
      <c r="G5" s="13" t="s">
        <v>2</v>
      </c>
      <c r="H5" s="13" t="s">
        <v>3</v>
      </c>
      <c r="I5" s="13" t="s">
        <v>4</v>
      </c>
    </row>
    <row r="6" spans="2:9" ht="15.75" thickBot="1" x14ac:dyDescent="0.3"/>
    <row r="7" spans="2:9" ht="20.100000000000001" customHeight="1" x14ac:dyDescent="0.25">
      <c r="B7" s="14"/>
      <c r="C7" s="15" t="s">
        <v>9</v>
      </c>
      <c r="D7" s="16">
        <v>0</v>
      </c>
      <c r="E7" s="15">
        <v>74.3125</v>
      </c>
      <c r="F7" s="18">
        <f>+D7*E7</f>
        <v>0</v>
      </c>
      <c r="G7" s="19"/>
      <c r="H7" s="17"/>
      <c r="I7" s="20"/>
    </row>
    <row r="8" spans="2:9" ht="20.100000000000001" customHeight="1" x14ac:dyDescent="0.25">
      <c r="B8" s="87">
        <v>45688</v>
      </c>
      <c r="C8" s="5" t="s">
        <v>24</v>
      </c>
      <c r="D8" s="6"/>
      <c r="E8" s="5"/>
      <c r="F8" s="8"/>
      <c r="G8" s="9">
        <v>0</v>
      </c>
      <c r="H8" s="5">
        <v>74.3125</v>
      </c>
      <c r="I8" s="10">
        <f>+G8*H8</f>
        <v>0</v>
      </c>
    </row>
    <row r="9" spans="2:9" ht="20.100000000000001" customHeight="1" x14ac:dyDescent="0.25">
      <c r="B9" s="87"/>
      <c r="C9" s="11" t="s">
        <v>10</v>
      </c>
      <c r="D9" s="6"/>
      <c r="E9" s="7"/>
      <c r="F9" s="8"/>
      <c r="G9" s="9"/>
      <c r="H9" s="7"/>
      <c r="I9" s="11"/>
    </row>
    <row r="10" spans="2:9" ht="20.100000000000001" customHeight="1" x14ac:dyDescent="0.25">
      <c r="B10" s="92"/>
      <c r="C10" s="44"/>
      <c r="D10" s="45"/>
      <c r="E10" s="44"/>
      <c r="F10" s="46"/>
      <c r="G10" s="47"/>
      <c r="H10" s="100"/>
      <c r="I10" s="48"/>
    </row>
    <row r="11" spans="2:9" ht="20.100000000000001" customHeight="1" x14ac:dyDescent="0.25">
      <c r="B11" s="85">
        <v>45716</v>
      </c>
      <c r="C11" s="44" t="s">
        <v>47</v>
      </c>
      <c r="D11" s="45"/>
      <c r="E11" s="44"/>
      <c r="F11" s="46"/>
      <c r="G11" s="47">
        <v>0</v>
      </c>
      <c r="H11" s="44">
        <v>74.3125</v>
      </c>
      <c r="I11" s="56">
        <f>+G11*H11</f>
        <v>0</v>
      </c>
    </row>
    <row r="12" spans="2:9" ht="20.100000000000001" customHeight="1" x14ac:dyDescent="0.25">
      <c r="B12" s="85"/>
      <c r="C12" s="48" t="s">
        <v>10</v>
      </c>
      <c r="D12" s="45"/>
      <c r="E12" s="100"/>
      <c r="F12" s="46"/>
      <c r="G12" s="47"/>
      <c r="H12" s="100"/>
      <c r="I12" s="48"/>
    </row>
    <row r="13" spans="2:9" ht="20.100000000000001" customHeight="1" x14ac:dyDescent="0.25">
      <c r="B13" s="92"/>
      <c r="C13" s="44"/>
      <c r="D13" s="45"/>
      <c r="E13" s="44"/>
      <c r="F13" s="46"/>
      <c r="G13" s="47"/>
      <c r="H13" s="100"/>
      <c r="I13" s="48"/>
    </row>
    <row r="14" spans="2:9" ht="20.100000000000001" customHeight="1" x14ac:dyDescent="0.25">
      <c r="B14" s="115">
        <v>45729</v>
      </c>
      <c r="C14" s="5" t="s">
        <v>51</v>
      </c>
      <c r="D14" s="6">
        <v>50</v>
      </c>
      <c r="E14" s="5">
        <v>74.3125</v>
      </c>
      <c r="F14" s="8">
        <f>+D14*E14</f>
        <v>3715.625</v>
      </c>
      <c r="G14" s="9"/>
      <c r="H14" s="5"/>
      <c r="I14" s="11"/>
    </row>
    <row r="15" spans="2:9" ht="20.100000000000001" customHeight="1" x14ac:dyDescent="0.25">
      <c r="B15" s="87">
        <v>45747</v>
      </c>
      <c r="C15" s="5" t="s">
        <v>50</v>
      </c>
      <c r="D15" s="6"/>
      <c r="E15" s="5"/>
      <c r="F15" s="8"/>
      <c r="G15" s="9">
        <v>20</v>
      </c>
      <c r="H15" s="5">
        <v>74.3125</v>
      </c>
      <c r="I15" s="10">
        <f>+G15*H15</f>
        <v>1486.25</v>
      </c>
    </row>
    <row r="16" spans="2:9" ht="20.100000000000001" customHeight="1" x14ac:dyDescent="0.25">
      <c r="B16" s="87"/>
      <c r="C16" s="11" t="s">
        <v>10</v>
      </c>
      <c r="D16" s="6"/>
      <c r="E16" s="7"/>
      <c r="F16" s="8"/>
      <c r="G16" s="9"/>
      <c r="H16" s="7"/>
      <c r="I16" s="11"/>
    </row>
    <row r="17" spans="2:9" ht="20.100000000000001" customHeight="1" x14ac:dyDescent="0.25">
      <c r="B17" s="92"/>
      <c r="C17" s="44"/>
      <c r="D17" s="45"/>
      <c r="E17" s="44"/>
      <c r="F17" s="46"/>
      <c r="G17" s="47"/>
      <c r="H17" s="100"/>
      <c r="I17" s="48"/>
    </row>
    <row r="18" spans="2:9" ht="20.100000000000001" customHeight="1" x14ac:dyDescent="0.25">
      <c r="B18" s="85">
        <v>45777</v>
      </c>
      <c r="C18" s="44" t="s">
        <v>54</v>
      </c>
      <c r="D18" s="45"/>
      <c r="E18" s="44"/>
      <c r="F18" s="46"/>
      <c r="G18" s="47">
        <v>30</v>
      </c>
      <c r="H18" s="44">
        <v>74.3125</v>
      </c>
      <c r="I18" s="56">
        <f>+G18*H18</f>
        <v>2229.375</v>
      </c>
    </row>
    <row r="19" spans="2:9" ht="20.100000000000001" customHeight="1" x14ac:dyDescent="0.25">
      <c r="B19" s="85"/>
      <c r="C19" s="48" t="s">
        <v>10</v>
      </c>
      <c r="D19" s="45"/>
      <c r="E19" s="100"/>
      <c r="F19" s="46"/>
      <c r="G19" s="47"/>
      <c r="H19" s="100"/>
      <c r="I19" s="48"/>
    </row>
    <row r="20" spans="2:9" ht="20.100000000000001" customHeight="1" x14ac:dyDescent="0.25">
      <c r="B20" s="92"/>
      <c r="C20" s="44"/>
      <c r="D20" s="45"/>
      <c r="E20" s="44"/>
      <c r="F20" s="46"/>
      <c r="G20" s="47"/>
      <c r="H20" s="100"/>
      <c r="I20" s="48"/>
    </row>
    <row r="21" spans="2:9" ht="20.100000000000001" customHeight="1" x14ac:dyDescent="0.25">
      <c r="B21" s="115">
        <v>45808</v>
      </c>
      <c r="C21" s="5" t="s">
        <v>58</v>
      </c>
      <c r="D21" s="6"/>
      <c r="E21" s="5"/>
      <c r="F21" s="8"/>
      <c r="G21" s="9">
        <v>0</v>
      </c>
      <c r="H21" s="5">
        <v>74.3125</v>
      </c>
      <c r="I21" s="10">
        <f>+G21*H21</f>
        <v>0</v>
      </c>
    </row>
    <row r="22" spans="2:9" ht="20.100000000000001" customHeight="1" x14ac:dyDescent="0.25">
      <c r="B22" s="87"/>
      <c r="C22" s="11" t="s">
        <v>10</v>
      </c>
      <c r="D22" s="6"/>
      <c r="E22" s="7"/>
      <c r="F22" s="8"/>
      <c r="G22" s="9"/>
      <c r="H22" s="7"/>
      <c r="I22" s="11"/>
    </row>
    <row r="23" spans="2:9" ht="20.100000000000001" customHeight="1" x14ac:dyDescent="0.25">
      <c r="B23" s="92"/>
      <c r="C23" s="44"/>
      <c r="D23" s="45"/>
      <c r="E23" s="44"/>
      <c r="F23" s="46"/>
      <c r="G23" s="47"/>
      <c r="H23" s="100"/>
      <c r="I23" s="48"/>
    </row>
    <row r="24" spans="2:9" ht="20.100000000000001" customHeight="1" x14ac:dyDescent="0.25">
      <c r="B24" s="85">
        <v>45838</v>
      </c>
      <c r="C24" s="44" t="s">
        <v>63</v>
      </c>
      <c r="D24" s="45"/>
      <c r="E24" s="44"/>
      <c r="F24" s="46"/>
      <c r="G24" s="47">
        <v>0</v>
      </c>
      <c r="H24" s="44">
        <v>74.3125</v>
      </c>
      <c r="I24" s="56">
        <f>+G24*H24</f>
        <v>0</v>
      </c>
    </row>
    <row r="25" spans="2:9" ht="20.100000000000001" customHeight="1" x14ac:dyDescent="0.25">
      <c r="B25" s="85"/>
      <c r="C25" s="48" t="s">
        <v>10</v>
      </c>
      <c r="D25" s="45"/>
      <c r="E25" s="100"/>
      <c r="F25" s="46"/>
      <c r="G25" s="47"/>
      <c r="H25" s="100"/>
      <c r="I25" s="48"/>
    </row>
    <row r="26" spans="2:9" ht="20.100000000000001" customHeight="1" x14ac:dyDescent="0.25">
      <c r="B26" s="92"/>
      <c r="C26" s="44"/>
      <c r="D26" s="45"/>
      <c r="E26" s="44"/>
      <c r="F26" s="46"/>
      <c r="G26" s="47"/>
      <c r="H26" s="100"/>
      <c r="I26" s="48"/>
    </row>
    <row r="27" spans="2:9" ht="20.100000000000001" customHeight="1" x14ac:dyDescent="0.25">
      <c r="B27" s="115">
        <v>45869</v>
      </c>
      <c r="C27" s="5" t="s">
        <v>65</v>
      </c>
      <c r="D27" s="6"/>
      <c r="E27" s="5"/>
      <c r="F27" s="8"/>
      <c r="G27" s="9">
        <v>0</v>
      </c>
      <c r="H27" s="5">
        <v>74.3125</v>
      </c>
      <c r="I27" s="10">
        <f>+G27*H27</f>
        <v>0</v>
      </c>
    </row>
    <row r="28" spans="2:9" ht="20.100000000000001" customHeight="1" x14ac:dyDescent="0.25">
      <c r="B28" s="87"/>
      <c r="C28" s="11" t="s">
        <v>10</v>
      </c>
      <c r="D28" s="6"/>
      <c r="E28" s="7"/>
      <c r="F28" s="8"/>
      <c r="G28" s="9"/>
      <c r="H28" s="7"/>
      <c r="I28" s="11"/>
    </row>
    <row r="29" spans="2:9" ht="20.100000000000001" customHeight="1" x14ac:dyDescent="0.25">
      <c r="B29" s="92"/>
      <c r="C29" s="44"/>
      <c r="D29" s="45"/>
      <c r="E29" s="44"/>
      <c r="F29" s="46"/>
      <c r="G29" s="47"/>
      <c r="H29" s="100"/>
      <c r="I29" s="48"/>
    </row>
    <row r="30" spans="2:9" ht="20.100000000000001" customHeight="1" x14ac:dyDescent="0.25">
      <c r="B30" s="92">
        <v>45900</v>
      </c>
      <c r="C30" s="44" t="s">
        <v>67</v>
      </c>
      <c r="D30" s="45"/>
      <c r="E30" s="44"/>
      <c r="F30" s="46"/>
      <c r="G30" s="47">
        <v>0</v>
      </c>
      <c r="H30" s="44">
        <v>74.3125</v>
      </c>
      <c r="I30" s="56">
        <f>+G30*H30</f>
        <v>0</v>
      </c>
    </row>
    <row r="31" spans="2:9" ht="20.100000000000001" customHeight="1" x14ac:dyDescent="0.25">
      <c r="B31" s="85"/>
      <c r="C31" s="48" t="s">
        <v>10</v>
      </c>
      <c r="D31" s="45"/>
      <c r="E31" s="100"/>
      <c r="F31" s="46"/>
      <c r="G31" s="47"/>
      <c r="H31" s="100"/>
      <c r="I31" s="48"/>
    </row>
    <row r="32" spans="2:9" ht="20.100000000000001" customHeight="1" x14ac:dyDescent="0.25">
      <c r="B32" s="92"/>
      <c r="C32" s="44"/>
      <c r="D32" s="45"/>
      <c r="E32" s="44"/>
      <c r="F32" s="46"/>
      <c r="G32" s="47"/>
      <c r="H32" s="100"/>
      <c r="I32" s="48"/>
    </row>
    <row r="33" spans="2:9" ht="20.100000000000001" customHeight="1" x14ac:dyDescent="0.25">
      <c r="B33" s="115">
        <v>45930</v>
      </c>
      <c r="C33" s="5" t="s">
        <v>72</v>
      </c>
      <c r="D33" s="6"/>
      <c r="E33" s="5"/>
      <c r="F33" s="8"/>
      <c r="G33" s="9">
        <v>0</v>
      </c>
      <c r="H33" s="5">
        <v>74.3125</v>
      </c>
      <c r="I33" s="10">
        <f>+G33*H33</f>
        <v>0</v>
      </c>
    </row>
    <row r="34" spans="2:9" ht="20.100000000000001" customHeight="1" x14ac:dyDescent="0.25">
      <c r="B34" s="87"/>
      <c r="C34" s="11" t="s">
        <v>10</v>
      </c>
      <c r="D34" s="6"/>
      <c r="E34" s="7"/>
      <c r="F34" s="8"/>
      <c r="G34" s="9"/>
      <c r="H34" s="7"/>
      <c r="I34" s="11"/>
    </row>
    <row r="35" spans="2:9" ht="20.100000000000001" customHeight="1" x14ac:dyDescent="0.25">
      <c r="B35" s="92"/>
      <c r="C35" s="44"/>
      <c r="D35" s="45"/>
      <c r="E35" s="44"/>
      <c r="F35" s="46"/>
      <c r="G35" s="47"/>
      <c r="H35" s="100"/>
      <c r="I35" s="48"/>
    </row>
    <row r="36" spans="2:9" ht="20.100000000000001" customHeight="1" x14ac:dyDescent="0.25">
      <c r="B36" s="92">
        <v>45961</v>
      </c>
      <c r="C36" s="44" t="s">
        <v>74</v>
      </c>
      <c r="D36" s="45"/>
      <c r="E36" s="44"/>
      <c r="F36" s="46"/>
      <c r="G36" s="47">
        <v>0</v>
      </c>
      <c r="H36" s="44">
        <v>74.3125</v>
      </c>
      <c r="I36" s="56">
        <f>+G36*H36</f>
        <v>0</v>
      </c>
    </row>
    <row r="37" spans="2:9" ht="20.100000000000001" customHeight="1" x14ac:dyDescent="0.25">
      <c r="B37" s="85"/>
      <c r="C37" s="48" t="s">
        <v>10</v>
      </c>
      <c r="D37" s="45"/>
      <c r="E37" s="100"/>
      <c r="F37" s="46"/>
      <c r="G37" s="47"/>
      <c r="H37" s="100"/>
      <c r="I37" s="48"/>
    </row>
    <row r="38" spans="2:9" ht="20.100000000000001" customHeight="1" x14ac:dyDescent="0.25">
      <c r="B38" s="92"/>
      <c r="C38" s="44"/>
      <c r="D38" s="45"/>
      <c r="E38" s="44"/>
      <c r="F38" s="46"/>
      <c r="G38" s="47"/>
      <c r="H38" s="100"/>
      <c r="I38" s="48"/>
    </row>
    <row r="39" spans="2:9" ht="20.100000000000001" customHeight="1" x14ac:dyDescent="0.25">
      <c r="B39" s="87">
        <v>45966</v>
      </c>
      <c r="C39" s="5" t="s">
        <v>78</v>
      </c>
      <c r="D39" s="6">
        <v>50</v>
      </c>
      <c r="E39" s="5">
        <v>74.3125</v>
      </c>
      <c r="F39" s="8">
        <f>+D39*E39</f>
        <v>3715.625</v>
      </c>
      <c r="G39" s="9"/>
      <c r="H39" s="5"/>
      <c r="I39" s="11"/>
    </row>
    <row r="40" spans="2:9" ht="20.100000000000001" customHeight="1" x14ac:dyDescent="0.25">
      <c r="B40" s="87">
        <v>45991</v>
      </c>
      <c r="C40" s="5" t="s">
        <v>77</v>
      </c>
      <c r="D40" s="6"/>
      <c r="E40" s="5"/>
      <c r="F40" s="8"/>
      <c r="G40" s="9">
        <v>38</v>
      </c>
      <c r="H40" s="5">
        <v>74.3125</v>
      </c>
      <c r="I40" s="10">
        <f>+G40*H40</f>
        <v>2823.875</v>
      </c>
    </row>
    <row r="41" spans="2:9" ht="20.100000000000001" customHeight="1" x14ac:dyDescent="0.25">
      <c r="B41" s="87"/>
      <c r="C41" s="11" t="s">
        <v>10</v>
      </c>
      <c r="D41" s="6"/>
      <c r="E41" s="7"/>
      <c r="F41" s="8"/>
      <c r="G41" s="9"/>
      <c r="H41" s="7"/>
      <c r="I41" s="11"/>
    </row>
    <row r="42" spans="2:9" ht="20.100000000000001" customHeight="1" x14ac:dyDescent="0.25">
      <c r="B42" s="92"/>
      <c r="C42" s="44"/>
      <c r="D42" s="45"/>
      <c r="E42" s="44"/>
      <c r="F42" s="46"/>
      <c r="G42" s="47"/>
      <c r="H42" s="100"/>
      <c r="I42" s="48"/>
    </row>
    <row r="43" spans="2:9" ht="20.100000000000001" customHeight="1" x14ac:dyDescent="0.25">
      <c r="B43" s="92">
        <v>46022</v>
      </c>
      <c r="C43" s="44" t="s">
        <v>81</v>
      </c>
      <c r="D43" s="45"/>
      <c r="E43" s="44"/>
      <c r="F43" s="46"/>
      <c r="G43" s="47">
        <v>9</v>
      </c>
      <c r="H43" s="44">
        <v>74.3125</v>
      </c>
      <c r="I43" s="56">
        <f>+G43*H43</f>
        <v>668.8125</v>
      </c>
    </row>
    <row r="44" spans="2:9" ht="20.100000000000001" customHeight="1" x14ac:dyDescent="0.25">
      <c r="B44" s="85"/>
      <c r="C44" s="48" t="s">
        <v>10</v>
      </c>
      <c r="D44" s="45"/>
      <c r="E44" s="100"/>
      <c r="F44" s="46"/>
      <c r="G44" s="47"/>
      <c r="H44" s="100"/>
      <c r="I44" s="48"/>
    </row>
    <row r="45" spans="2:9" ht="20.100000000000001" customHeight="1" x14ac:dyDescent="0.25">
      <c r="B45" s="92"/>
      <c r="C45" s="44"/>
      <c r="D45" s="45"/>
      <c r="E45" s="44"/>
      <c r="F45" s="46"/>
      <c r="G45" s="47"/>
      <c r="H45" s="100"/>
      <c r="I45" s="48"/>
    </row>
    <row r="46" spans="2:9" ht="20.100000000000001" customHeight="1" x14ac:dyDescent="0.25">
      <c r="B46" s="92"/>
      <c r="C46" s="44"/>
      <c r="D46" s="45"/>
      <c r="E46" s="44"/>
      <c r="F46" s="46"/>
      <c r="G46" s="47"/>
      <c r="H46" s="100"/>
      <c r="I46" s="48"/>
    </row>
    <row r="47" spans="2:9" ht="20.100000000000001" customHeight="1" x14ac:dyDescent="0.25">
      <c r="B47" s="92"/>
      <c r="C47" s="44"/>
      <c r="D47" s="45"/>
      <c r="E47" s="44"/>
      <c r="F47" s="46"/>
      <c r="G47" s="47"/>
      <c r="H47" s="100"/>
      <c r="I47" s="48"/>
    </row>
    <row r="48" spans="2:9" ht="20.100000000000001" customHeight="1" x14ac:dyDescent="0.25">
      <c r="B48" s="90"/>
      <c r="C48" s="61"/>
      <c r="D48" s="62"/>
      <c r="E48" s="88"/>
      <c r="F48" s="63"/>
      <c r="G48" s="64"/>
      <c r="H48" s="88"/>
      <c r="I48" s="65"/>
    </row>
    <row r="49" spans="2:11" ht="20.100000000000001" customHeight="1" thickBot="1" x14ac:dyDescent="0.3">
      <c r="B49" s="52"/>
      <c r="C49" s="66" t="s">
        <v>6</v>
      </c>
      <c r="D49" s="67">
        <f>SUM(D7:D48)</f>
        <v>100</v>
      </c>
      <c r="E49" s="68"/>
      <c r="F49" s="69">
        <f>SUM(F7:F48)</f>
        <v>7431.25</v>
      </c>
      <c r="G49" s="67">
        <f>SUM(G7:G48)</f>
        <v>97</v>
      </c>
      <c r="H49" s="68"/>
      <c r="I49" s="70">
        <f>SUM(I7:I48)</f>
        <v>7208.3125</v>
      </c>
      <c r="K49" s="34"/>
    </row>
    <row r="50" spans="2:11" ht="20.100000000000001" customHeight="1" thickTop="1" thickBot="1" x14ac:dyDescent="0.3">
      <c r="B50" s="71"/>
      <c r="C50" s="72"/>
      <c r="D50" s="73"/>
      <c r="E50" s="72"/>
      <c r="F50" s="74"/>
      <c r="G50" s="75"/>
      <c r="H50" s="72"/>
      <c r="I50" s="76"/>
    </row>
    <row r="51" spans="2:11" ht="20.100000000000001" customHeight="1" x14ac:dyDescent="0.25"/>
    <row r="52" spans="2:11" ht="20.100000000000001" customHeight="1" x14ac:dyDescent="0.25"/>
    <row r="53" spans="2:11" ht="20.100000000000001" customHeight="1" x14ac:dyDescent="0.25"/>
    <row r="54" spans="2:11" ht="20.100000000000001" customHeight="1" x14ac:dyDescent="0.25"/>
    <row r="55" spans="2:11" ht="20.100000000000001" customHeight="1" x14ac:dyDescent="0.25"/>
    <row r="56" spans="2:11" ht="20.100000000000001" customHeight="1" x14ac:dyDescent="0.25"/>
    <row r="57" spans="2:11" ht="20.100000000000001" customHeight="1" x14ac:dyDescent="0.25"/>
    <row r="58" spans="2:11" ht="20.100000000000001" customHeight="1" x14ac:dyDescent="0.25"/>
    <row r="59" spans="2:11" ht="20.100000000000001" customHeight="1" x14ac:dyDescent="0.25"/>
    <row r="60" spans="2:11" ht="20.100000000000001" customHeight="1" x14ac:dyDescent="0.25"/>
    <row r="61" spans="2:11" ht="20.100000000000001" customHeight="1" x14ac:dyDescent="0.25"/>
    <row r="62" spans="2:11" ht="20.100000000000001" customHeight="1" x14ac:dyDescent="0.25"/>
    <row r="63" spans="2:11" ht="20.100000000000001" customHeight="1" x14ac:dyDescent="0.25"/>
    <row r="64" spans="2:11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</sheetData>
  <mergeCells count="4">
    <mergeCell ref="B4:B5"/>
    <mergeCell ref="C4:C5"/>
    <mergeCell ref="D4:F4"/>
    <mergeCell ref="G4:I4"/>
  </mergeCells>
  <pageMargins left="0.31496062992125984" right="0.31496062992125984" top="0.55118110236220474" bottom="0.55118110236220474" header="0.31496062992125984" footer="0.31496062992125984"/>
  <pageSetup scale="73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  <pageSetUpPr fitToPage="1"/>
  </sheetPr>
  <dimension ref="B2:T97"/>
  <sheetViews>
    <sheetView workbookViewId="0">
      <pane ySplit="5" topLeftCell="A38" activePane="bottomLeft" state="frozen"/>
      <selection pane="bottomLeft" activeCell="C50" sqref="C50"/>
    </sheetView>
  </sheetViews>
  <sheetFormatPr baseColWidth="10" defaultRowHeight="15" x14ac:dyDescent="0.25"/>
  <cols>
    <col min="1" max="1" width="4.5703125" customWidth="1"/>
    <col min="2" max="2" width="11.85546875" customWidth="1"/>
    <col min="3" max="3" width="43.28515625" bestFit="1" customWidth="1"/>
    <col min="4" max="4" width="14.140625" bestFit="1" customWidth="1"/>
    <col min="6" max="6" width="12.42578125" customWidth="1"/>
    <col min="9" max="9" width="12.42578125" customWidth="1"/>
  </cols>
  <sheetData>
    <row r="2" spans="2:9" ht="15.75" x14ac:dyDescent="0.25">
      <c r="C2" s="21" t="s">
        <v>16</v>
      </c>
    </row>
    <row r="3" spans="2:9" ht="15.75" thickBot="1" x14ac:dyDescent="0.3"/>
    <row r="4" spans="2:9" ht="15.75" thickBot="1" x14ac:dyDescent="0.3">
      <c r="B4" s="125" t="s">
        <v>8</v>
      </c>
      <c r="C4" s="125" t="s">
        <v>7</v>
      </c>
      <c r="D4" s="122" t="s">
        <v>1</v>
      </c>
      <c r="E4" s="123"/>
      <c r="F4" s="124"/>
      <c r="G4" s="122" t="s">
        <v>5</v>
      </c>
      <c r="H4" s="123"/>
      <c r="I4" s="124"/>
    </row>
    <row r="5" spans="2:9" ht="15.75" thickBot="1" x14ac:dyDescent="0.3">
      <c r="B5" s="126"/>
      <c r="C5" s="126"/>
      <c r="D5" s="13" t="s">
        <v>2</v>
      </c>
      <c r="E5" s="13" t="s">
        <v>3</v>
      </c>
      <c r="F5" s="13" t="s">
        <v>4</v>
      </c>
      <c r="G5" s="13" t="s">
        <v>2</v>
      </c>
      <c r="H5" s="13" t="s">
        <v>3</v>
      </c>
      <c r="I5" s="13" t="s">
        <v>4</v>
      </c>
    </row>
    <row r="6" spans="2:9" ht="15.75" thickBot="1" x14ac:dyDescent="0.3"/>
    <row r="7" spans="2:9" ht="20.100000000000001" customHeight="1" x14ac:dyDescent="0.25">
      <c r="B7" s="14"/>
      <c r="C7" s="15" t="s">
        <v>9</v>
      </c>
      <c r="D7" s="16">
        <v>11</v>
      </c>
      <c r="E7" s="15">
        <v>71.580359999999999</v>
      </c>
      <c r="F7" s="18">
        <f>+D7*E7</f>
        <v>787.38396</v>
      </c>
      <c r="G7" s="19"/>
      <c r="H7" s="15"/>
      <c r="I7" s="20"/>
    </row>
    <row r="8" spans="2:9" ht="20.100000000000001" customHeight="1" x14ac:dyDescent="0.25">
      <c r="B8" s="87">
        <v>45674</v>
      </c>
      <c r="C8" s="5" t="s">
        <v>46</v>
      </c>
      <c r="D8" s="6">
        <v>50</v>
      </c>
      <c r="E8" s="5">
        <v>71.580359999999999</v>
      </c>
      <c r="F8" s="8">
        <f>+D8*E8</f>
        <v>3579.018</v>
      </c>
      <c r="G8" s="9"/>
      <c r="H8" s="5"/>
      <c r="I8" s="10"/>
    </row>
    <row r="9" spans="2:9" ht="20.100000000000001" customHeight="1" x14ac:dyDescent="0.25">
      <c r="B9" s="87">
        <v>45688</v>
      </c>
      <c r="C9" s="5" t="s">
        <v>24</v>
      </c>
      <c r="D9" s="6"/>
      <c r="E9" s="5"/>
      <c r="F9" s="8"/>
      <c r="G9" s="9">
        <v>61</v>
      </c>
      <c r="H9" s="5">
        <v>71.580359999999999</v>
      </c>
      <c r="I9" s="10">
        <f>+G9*H9</f>
        <v>4366.4019600000001</v>
      </c>
    </row>
    <row r="10" spans="2:9" ht="20.100000000000001" customHeight="1" x14ac:dyDescent="0.25">
      <c r="B10" s="87"/>
      <c r="C10" s="110" t="s">
        <v>10</v>
      </c>
      <c r="D10" s="6"/>
      <c r="E10" s="5"/>
      <c r="F10" s="8"/>
      <c r="G10" s="9"/>
      <c r="H10" s="5"/>
      <c r="I10" s="11"/>
    </row>
    <row r="11" spans="2:9" ht="20.100000000000001" customHeight="1" x14ac:dyDescent="0.25">
      <c r="B11" s="43"/>
      <c r="C11" s="49"/>
      <c r="D11" s="53"/>
      <c r="E11" s="49"/>
      <c r="F11" s="54"/>
      <c r="G11" s="55"/>
      <c r="H11" s="49"/>
      <c r="I11" s="60"/>
    </row>
    <row r="12" spans="2:9" ht="20.100000000000001" customHeight="1" x14ac:dyDescent="0.25">
      <c r="B12" s="85">
        <v>45716</v>
      </c>
      <c r="C12" s="44" t="s">
        <v>48</v>
      </c>
      <c r="D12" s="45"/>
      <c r="E12" s="44"/>
      <c r="F12" s="46"/>
      <c r="G12" s="47">
        <v>0</v>
      </c>
      <c r="H12" s="44">
        <v>71.580359999999999</v>
      </c>
      <c r="I12" s="56">
        <f>+G12*H12</f>
        <v>0</v>
      </c>
    </row>
    <row r="13" spans="2:9" ht="20.100000000000001" customHeight="1" x14ac:dyDescent="0.25">
      <c r="B13" s="85"/>
      <c r="C13" s="113" t="s">
        <v>10</v>
      </c>
      <c r="D13" s="45"/>
      <c r="E13" s="44"/>
      <c r="F13" s="46"/>
      <c r="G13" s="47"/>
      <c r="H13" s="44"/>
      <c r="I13" s="48"/>
    </row>
    <row r="14" spans="2:9" ht="20.100000000000001" customHeight="1" x14ac:dyDescent="0.25">
      <c r="B14" s="108"/>
      <c r="C14" s="44"/>
      <c r="D14" s="45"/>
      <c r="E14" s="44"/>
      <c r="F14" s="46"/>
      <c r="G14" s="47"/>
      <c r="H14" s="44"/>
      <c r="I14" s="56"/>
    </row>
    <row r="15" spans="2:9" ht="20.100000000000001" customHeight="1" x14ac:dyDescent="0.25">
      <c r="B15" s="115">
        <v>45729</v>
      </c>
      <c r="C15" s="5" t="s">
        <v>51</v>
      </c>
      <c r="D15" s="6">
        <v>50</v>
      </c>
      <c r="E15" s="5">
        <v>71.580359999999999</v>
      </c>
      <c r="F15" s="8">
        <f>+D15*E15</f>
        <v>3579.018</v>
      </c>
      <c r="G15" s="9"/>
      <c r="H15" s="5"/>
      <c r="I15" s="10"/>
    </row>
    <row r="16" spans="2:9" ht="20.100000000000001" customHeight="1" x14ac:dyDescent="0.25">
      <c r="B16" s="87">
        <v>45747</v>
      </c>
      <c r="C16" s="5" t="s">
        <v>50</v>
      </c>
      <c r="D16" s="6"/>
      <c r="E16" s="5"/>
      <c r="F16" s="8"/>
      <c r="G16" s="9">
        <v>32</v>
      </c>
      <c r="H16" s="5">
        <v>71.580359999999999</v>
      </c>
      <c r="I16" s="10">
        <f>+G16*H16</f>
        <v>2290.57152</v>
      </c>
    </row>
    <row r="17" spans="2:9" ht="20.100000000000001" customHeight="1" x14ac:dyDescent="0.25">
      <c r="B17" s="87"/>
      <c r="C17" s="110" t="s">
        <v>10</v>
      </c>
      <c r="D17" s="6"/>
      <c r="E17" s="5"/>
      <c r="F17" s="8"/>
      <c r="G17" s="9"/>
      <c r="H17" s="5"/>
      <c r="I17" s="11"/>
    </row>
    <row r="18" spans="2:9" ht="20.100000000000001" customHeight="1" x14ac:dyDescent="0.25">
      <c r="B18" s="108"/>
      <c r="C18" s="44"/>
      <c r="D18" s="45"/>
      <c r="E18" s="44"/>
      <c r="F18" s="46"/>
      <c r="G18" s="47"/>
      <c r="H18" s="44"/>
      <c r="I18" s="56"/>
    </row>
    <row r="19" spans="2:9" ht="20.100000000000001" customHeight="1" x14ac:dyDescent="0.25">
      <c r="B19" s="85">
        <v>45777</v>
      </c>
      <c r="C19" s="44" t="s">
        <v>54</v>
      </c>
      <c r="D19" s="45"/>
      <c r="E19" s="44"/>
      <c r="F19" s="46"/>
      <c r="G19" s="47">
        <v>18</v>
      </c>
      <c r="H19" s="44">
        <v>71.580359999999999</v>
      </c>
      <c r="I19" s="56">
        <f>+G19*H19</f>
        <v>1288.4464800000001</v>
      </c>
    </row>
    <row r="20" spans="2:9" ht="20.100000000000001" customHeight="1" x14ac:dyDescent="0.25">
      <c r="B20" s="85"/>
      <c r="C20" s="113" t="s">
        <v>10</v>
      </c>
      <c r="D20" s="45"/>
      <c r="E20" s="44"/>
      <c r="F20" s="46"/>
      <c r="G20" s="47"/>
      <c r="H20" s="44"/>
      <c r="I20" s="48"/>
    </row>
    <row r="21" spans="2:9" ht="20.100000000000001" customHeight="1" x14ac:dyDescent="0.25">
      <c r="B21" s="108"/>
      <c r="C21" s="44"/>
      <c r="D21" s="45"/>
      <c r="E21" s="44"/>
      <c r="F21" s="46"/>
      <c r="G21" s="47"/>
      <c r="H21" s="44"/>
      <c r="I21" s="56"/>
    </row>
    <row r="22" spans="2:9" ht="20.100000000000001" customHeight="1" x14ac:dyDescent="0.25">
      <c r="B22" s="115">
        <v>45797</v>
      </c>
      <c r="C22" s="5" t="s">
        <v>57</v>
      </c>
      <c r="D22" s="6">
        <v>50</v>
      </c>
      <c r="E22" s="5">
        <v>71.580359999999999</v>
      </c>
      <c r="F22" s="8">
        <f>+D22*E22</f>
        <v>3579.018</v>
      </c>
      <c r="G22" s="9"/>
      <c r="H22" s="5"/>
      <c r="I22" s="10"/>
    </row>
    <row r="23" spans="2:9" ht="20.100000000000001" customHeight="1" x14ac:dyDescent="0.25">
      <c r="B23" s="87">
        <v>45808</v>
      </c>
      <c r="C23" s="5" t="s">
        <v>60</v>
      </c>
      <c r="D23" s="6"/>
      <c r="E23" s="5"/>
      <c r="F23" s="8"/>
      <c r="G23" s="9">
        <v>36</v>
      </c>
      <c r="H23" s="5">
        <v>71.580359999999999</v>
      </c>
      <c r="I23" s="10">
        <f>+G23*H23</f>
        <v>2576.8929600000001</v>
      </c>
    </row>
    <row r="24" spans="2:9" ht="20.100000000000001" customHeight="1" x14ac:dyDescent="0.25">
      <c r="B24" s="87"/>
      <c r="C24" s="110" t="s">
        <v>10</v>
      </c>
      <c r="D24" s="6"/>
      <c r="E24" s="5"/>
      <c r="F24" s="8"/>
      <c r="G24" s="9"/>
      <c r="H24" s="5"/>
      <c r="I24" s="11"/>
    </row>
    <row r="25" spans="2:9" ht="20.100000000000001" customHeight="1" x14ac:dyDescent="0.25">
      <c r="B25" s="108"/>
      <c r="C25" s="44"/>
      <c r="D25" s="45"/>
      <c r="E25" s="44"/>
      <c r="F25" s="46"/>
      <c r="G25" s="47"/>
      <c r="H25" s="44"/>
      <c r="I25" s="56"/>
    </row>
    <row r="26" spans="2:9" ht="20.100000000000001" customHeight="1" x14ac:dyDescent="0.25">
      <c r="B26" s="85">
        <v>45838</v>
      </c>
      <c r="C26" s="44" t="s">
        <v>63</v>
      </c>
      <c r="D26" s="45"/>
      <c r="E26" s="44"/>
      <c r="F26" s="46"/>
      <c r="G26" s="47">
        <v>14</v>
      </c>
      <c r="H26" s="44">
        <v>71.580359999999999</v>
      </c>
      <c r="I26" s="56">
        <f>+G26*H26</f>
        <v>1002.12504</v>
      </c>
    </row>
    <row r="27" spans="2:9" ht="20.100000000000001" customHeight="1" x14ac:dyDescent="0.25">
      <c r="B27" s="85"/>
      <c r="C27" s="113" t="s">
        <v>10</v>
      </c>
      <c r="D27" s="45"/>
      <c r="E27" s="44"/>
      <c r="F27" s="46"/>
      <c r="G27" s="47"/>
      <c r="H27" s="44"/>
      <c r="I27" s="48"/>
    </row>
    <row r="28" spans="2:9" ht="20.100000000000001" customHeight="1" x14ac:dyDescent="0.25">
      <c r="B28" s="108"/>
      <c r="C28" s="44"/>
      <c r="D28" s="45"/>
      <c r="E28" s="44"/>
      <c r="F28" s="46"/>
      <c r="G28" s="47"/>
      <c r="H28" s="44"/>
      <c r="I28" s="56"/>
    </row>
    <row r="29" spans="2:9" ht="20.100000000000001" customHeight="1" x14ac:dyDescent="0.25">
      <c r="B29" s="87">
        <v>45859</v>
      </c>
      <c r="C29" s="5" t="s">
        <v>66</v>
      </c>
      <c r="D29" s="6">
        <v>50</v>
      </c>
      <c r="E29" s="5">
        <v>71.580359999999999</v>
      </c>
      <c r="F29" s="8">
        <f>+D29*E29</f>
        <v>3579.018</v>
      </c>
      <c r="G29" s="9"/>
      <c r="H29" s="5"/>
      <c r="I29" s="10"/>
    </row>
    <row r="30" spans="2:9" ht="20.100000000000001" customHeight="1" x14ac:dyDescent="0.25">
      <c r="B30" s="87">
        <v>45869</v>
      </c>
      <c r="C30" s="5" t="s">
        <v>64</v>
      </c>
      <c r="D30" s="6"/>
      <c r="E30" s="5"/>
      <c r="F30" s="8"/>
      <c r="G30" s="9">
        <v>41</v>
      </c>
      <c r="H30" s="5">
        <v>71.580359999999999</v>
      </c>
      <c r="I30" s="10">
        <f>+G30*H30</f>
        <v>2934.7947599999998</v>
      </c>
    </row>
    <row r="31" spans="2:9" ht="20.100000000000001" customHeight="1" x14ac:dyDescent="0.25">
      <c r="B31" s="87"/>
      <c r="C31" s="110" t="s">
        <v>10</v>
      </c>
      <c r="D31" s="6"/>
      <c r="E31" s="5"/>
      <c r="F31" s="8"/>
      <c r="G31" s="9"/>
      <c r="H31" s="5"/>
      <c r="I31" s="11"/>
    </row>
    <row r="32" spans="2:9" ht="20.100000000000001" customHeight="1" x14ac:dyDescent="0.25">
      <c r="B32" s="108"/>
      <c r="C32" s="44"/>
      <c r="D32" s="45"/>
      <c r="E32" s="44"/>
      <c r="F32" s="46"/>
      <c r="G32" s="47"/>
      <c r="H32" s="44"/>
      <c r="I32" s="56"/>
    </row>
    <row r="33" spans="2:9" ht="20.100000000000001" customHeight="1" x14ac:dyDescent="0.25">
      <c r="B33" s="85">
        <v>45900</v>
      </c>
      <c r="C33" s="44" t="s">
        <v>67</v>
      </c>
      <c r="D33" s="45"/>
      <c r="E33" s="44"/>
      <c r="F33" s="46"/>
      <c r="G33" s="47">
        <v>9</v>
      </c>
      <c r="H33" s="44">
        <v>71.580359999999999</v>
      </c>
      <c r="I33" s="56">
        <f>+G33*H33</f>
        <v>644.22324000000003</v>
      </c>
    </row>
    <row r="34" spans="2:9" ht="20.100000000000001" customHeight="1" x14ac:dyDescent="0.25">
      <c r="B34" s="85"/>
      <c r="C34" s="113" t="s">
        <v>10</v>
      </c>
      <c r="D34" s="45"/>
      <c r="E34" s="44"/>
      <c r="F34" s="46"/>
      <c r="G34" s="47"/>
      <c r="H34" s="44"/>
      <c r="I34" s="48"/>
    </row>
    <row r="35" spans="2:9" ht="20.100000000000001" customHeight="1" x14ac:dyDescent="0.25">
      <c r="B35" s="108"/>
      <c r="C35" s="44"/>
      <c r="D35" s="45"/>
      <c r="E35" s="44"/>
      <c r="F35" s="46"/>
      <c r="G35" s="47"/>
      <c r="H35" s="44"/>
      <c r="I35" s="56"/>
    </row>
    <row r="36" spans="2:9" ht="20.100000000000001" customHeight="1" x14ac:dyDescent="0.25">
      <c r="B36" s="87">
        <v>45930</v>
      </c>
      <c r="C36" s="5" t="s">
        <v>71</v>
      </c>
      <c r="D36" s="6">
        <v>50</v>
      </c>
      <c r="E36" s="5">
        <v>71.580359999999999</v>
      </c>
      <c r="F36" s="8">
        <f>+D36*E36</f>
        <v>3579.018</v>
      </c>
      <c r="G36" s="9"/>
      <c r="H36" s="5"/>
      <c r="I36" s="10"/>
    </row>
    <row r="37" spans="2:9" ht="20.100000000000001" customHeight="1" x14ac:dyDescent="0.25">
      <c r="B37" s="87">
        <v>45930</v>
      </c>
      <c r="C37" s="5" t="s">
        <v>72</v>
      </c>
      <c r="D37" s="6"/>
      <c r="E37" s="5"/>
      <c r="F37" s="8"/>
      <c r="G37" s="9">
        <v>37</v>
      </c>
      <c r="H37" s="5">
        <v>71.580359999999999</v>
      </c>
      <c r="I37" s="10">
        <f>+G37*H37</f>
        <v>2648.4733200000001</v>
      </c>
    </row>
    <row r="38" spans="2:9" ht="20.100000000000001" customHeight="1" x14ac:dyDescent="0.25">
      <c r="B38" s="87"/>
      <c r="C38" s="110" t="s">
        <v>10</v>
      </c>
      <c r="D38" s="6"/>
      <c r="E38" s="5"/>
      <c r="F38" s="8"/>
      <c r="G38" s="9"/>
      <c r="H38" s="5"/>
      <c r="I38" s="11"/>
    </row>
    <row r="39" spans="2:9" ht="20.100000000000001" customHeight="1" x14ac:dyDescent="0.25">
      <c r="B39" s="108"/>
      <c r="C39" s="44"/>
      <c r="D39" s="45"/>
      <c r="E39" s="44"/>
      <c r="F39" s="46"/>
      <c r="G39" s="47"/>
      <c r="H39" s="44"/>
      <c r="I39" s="56"/>
    </row>
    <row r="40" spans="2:9" ht="20.100000000000001" customHeight="1" x14ac:dyDescent="0.25">
      <c r="B40" s="85">
        <v>45961</v>
      </c>
      <c r="C40" s="44" t="s">
        <v>74</v>
      </c>
      <c r="D40" s="45"/>
      <c r="E40" s="44"/>
      <c r="F40" s="46"/>
      <c r="G40" s="47">
        <v>13</v>
      </c>
      <c r="H40" s="44">
        <v>71.580359999999999</v>
      </c>
      <c r="I40" s="56">
        <f>+G40*H40</f>
        <v>930.54467999999997</v>
      </c>
    </row>
    <row r="41" spans="2:9" ht="20.100000000000001" customHeight="1" x14ac:dyDescent="0.25">
      <c r="B41" s="85"/>
      <c r="C41" s="113" t="s">
        <v>10</v>
      </c>
      <c r="D41" s="45"/>
      <c r="E41" s="44"/>
      <c r="F41" s="46"/>
      <c r="G41" s="47"/>
      <c r="H41" s="44"/>
      <c r="I41" s="48"/>
    </row>
    <row r="42" spans="2:9" ht="20.100000000000001" customHeight="1" x14ac:dyDescent="0.25">
      <c r="B42" s="108"/>
      <c r="C42" s="44"/>
      <c r="D42" s="45"/>
      <c r="E42" s="44"/>
      <c r="F42" s="46"/>
      <c r="G42" s="47"/>
      <c r="H42" s="44"/>
      <c r="I42" s="56"/>
    </row>
    <row r="43" spans="2:9" ht="20.100000000000001" customHeight="1" x14ac:dyDescent="0.25">
      <c r="B43" s="87">
        <v>45991</v>
      </c>
      <c r="C43" s="5" t="s">
        <v>79</v>
      </c>
      <c r="D43" s="6"/>
      <c r="E43" s="5"/>
      <c r="F43" s="8"/>
      <c r="G43" s="9">
        <v>0</v>
      </c>
      <c r="H43" s="5">
        <v>71.580359999999999</v>
      </c>
      <c r="I43" s="10">
        <f>+G43*H43</f>
        <v>0</v>
      </c>
    </row>
    <row r="44" spans="2:9" ht="20.100000000000001" customHeight="1" x14ac:dyDescent="0.25">
      <c r="B44" s="87"/>
      <c r="C44" s="110" t="s">
        <v>10</v>
      </c>
      <c r="D44" s="6"/>
      <c r="E44" s="5"/>
      <c r="F44" s="8"/>
      <c r="G44" s="9"/>
      <c r="H44" s="5"/>
      <c r="I44" s="11"/>
    </row>
    <row r="45" spans="2:9" ht="20.100000000000001" customHeight="1" x14ac:dyDescent="0.25">
      <c r="B45" s="108"/>
      <c r="C45" s="44"/>
      <c r="D45" s="45"/>
      <c r="E45" s="44"/>
      <c r="F45" s="46"/>
      <c r="G45" s="47"/>
      <c r="H45" s="44"/>
      <c r="I45" s="56"/>
    </row>
    <row r="46" spans="2:9" ht="20.100000000000001" customHeight="1" x14ac:dyDescent="0.25">
      <c r="B46" s="85">
        <v>46000</v>
      </c>
      <c r="C46" s="44" t="s">
        <v>82</v>
      </c>
      <c r="D46" s="45">
        <v>50</v>
      </c>
      <c r="E46" s="44">
        <v>71.580359999999999</v>
      </c>
      <c r="F46" s="46">
        <f>+D46*E46</f>
        <v>3579.018</v>
      </c>
      <c r="G46" s="47"/>
      <c r="H46" s="44"/>
      <c r="I46" s="56"/>
    </row>
    <row r="47" spans="2:9" ht="20.100000000000001" customHeight="1" x14ac:dyDescent="0.25">
      <c r="B47" s="85">
        <v>46022</v>
      </c>
      <c r="C47" s="44" t="s">
        <v>81</v>
      </c>
      <c r="D47" s="45"/>
      <c r="E47" s="44"/>
      <c r="F47" s="46"/>
      <c r="G47" s="47">
        <v>12</v>
      </c>
      <c r="H47" s="44">
        <v>71.580359999999999</v>
      </c>
      <c r="I47" s="56">
        <f>+G47*H47</f>
        <v>858.96432000000004</v>
      </c>
    </row>
    <row r="48" spans="2:9" ht="20.100000000000001" customHeight="1" x14ac:dyDescent="0.25">
      <c r="B48" s="85"/>
      <c r="C48" s="113" t="s">
        <v>10</v>
      </c>
      <c r="D48" s="45"/>
      <c r="E48" s="44"/>
      <c r="F48" s="46"/>
      <c r="G48" s="47"/>
      <c r="H48" s="44"/>
      <c r="I48" s="48"/>
    </row>
    <row r="49" spans="2:20" ht="20.100000000000001" customHeight="1" x14ac:dyDescent="0.25">
      <c r="B49" s="108"/>
      <c r="C49" s="44"/>
      <c r="D49" s="45"/>
      <c r="E49" s="44"/>
      <c r="F49" s="46"/>
      <c r="G49" s="47"/>
      <c r="H49" s="44"/>
      <c r="I49" s="56"/>
    </row>
    <row r="50" spans="2:20" ht="20.100000000000001" customHeight="1" x14ac:dyDescent="0.25">
      <c r="B50" s="90"/>
      <c r="C50" s="44"/>
      <c r="D50" s="45"/>
      <c r="E50" s="44"/>
      <c r="F50" s="46"/>
      <c r="G50" s="47"/>
      <c r="H50" s="44"/>
      <c r="I50" s="56"/>
    </row>
    <row r="51" spans="2:20" ht="20.100000000000001" customHeight="1" thickBot="1" x14ac:dyDescent="0.3">
      <c r="B51" s="52"/>
      <c r="C51" s="95" t="s">
        <v>6</v>
      </c>
      <c r="D51" s="96">
        <f>SUM(D7:D50)</f>
        <v>311</v>
      </c>
      <c r="E51" s="97"/>
      <c r="F51" s="98">
        <f>SUM(F7:F50)</f>
        <v>22261.491959999999</v>
      </c>
      <c r="G51" s="96">
        <f>SUM(G7:G50)</f>
        <v>273</v>
      </c>
      <c r="H51" s="97"/>
      <c r="I51" s="99">
        <f>SUM(I7:I50)</f>
        <v>19541.438279999998</v>
      </c>
      <c r="K51" s="34"/>
    </row>
    <row r="52" spans="2:20" ht="20.100000000000001" customHeight="1" thickTop="1" thickBot="1" x14ac:dyDescent="0.3">
      <c r="B52" s="71"/>
      <c r="C52" s="72"/>
      <c r="D52" s="73"/>
      <c r="E52" s="72"/>
      <c r="F52" s="74"/>
      <c r="G52" s="75"/>
      <c r="H52" s="72"/>
      <c r="I52" s="76"/>
    </row>
    <row r="53" spans="2:20" ht="20.100000000000001" customHeight="1" x14ac:dyDescent="0.25"/>
    <row r="54" spans="2:20" ht="20.100000000000001" customHeight="1" x14ac:dyDescent="0.25"/>
    <row r="55" spans="2:20" ht="20.100000000000001" customHeight="1" x14ac:dyDescent="0.25">
      <c r="T55">
        <v>19</v>
      </c>
    </row>
    <row r="56" spans="2:20" ht="20.100000000000001" customHeight="1" x14ac:dyDescent="0.25"/>
    <row r="57" spans="2:20" ht="20.100000000000001" customHeight="1" x14ac:dyDescent="0.25"/>
    <row r="58" spans="2:20" ht="20.100000000000001" customHeight="1" x14ac:dyDescent="0.25"/>
    <row r="59" spans="2:20" ht="20.100000000000001" customHeight="1" x14ac:dyDescent="0.25"/>
    <row r="60" spans="2:20" ht="20.100000000000001" customHeight="1" x14ac:dyDescent="0.25"/>
    <row r="61" spans="2:20" ht="20.100000000000001" customHeight="1" x14ac:dyDescent="0.25"/>
    <row r="62" spans="2:20" ht="20.100000000000001" customHeight="1" x14ac:dyDescent="0.25"/>
    <row r="63" spans="2:20" ht="20.100000000000001" customHeight="1" x14ac:dyDescent="0.25"/>
    <row r="64" spans="2:20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</sheetData>
  <mergeCells count="4">
    <mergeCell ref="B4:B5"/>
    <mergeCell ref="C4:C5"/>
    <mergeCell ref="D4:F4"/>
    <mergeCell ref="G4:I4"/>
  </mergeCells>
  <pageMargins left="0.31496062992125984" right="0.31496062992125984" top="0.55118110236220474" bottom="0.55118110236220474" header="0.31496062992125984" footer="0.31496062992125984"/>
  <pageSetup scale="76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39997558519241921"/>
    <pageSetUpPr fitToPage="1"/>
  </sheetPr>
  <dimension ref="B2:K115"/>
  <sheetViews>
    <sheetView zoomScaleNormal="100" workbookViewId="0">
      <pane ySplit="5" topLeftCell="A39" activePane="bottomLeft" state="frozen"/>
      <selection pane="bottomLeft" activeCell="E49" sqref="E49"/>
    </sheetView>
  </sheetViews>
  <sheetFormatPr baseColWidth="10" defaultRowHeight="15" x14ac:dyDescent="0.25"/>
  <cols>
    <col min="1" max="1" width="4.5703125" customWidth="1"/>
    <col min="2" max="2" width="11.85546875" customWidth="1"/>
    <col min="3" max="3" width="43.5703125" customWidth="1"/>
    <col min="4" max="4" width="14.140625" bestFit="1" customWidth="1"/>
    <col min="6" max="6" width="13.42578125" customWidth="1"/>
    <col min="9" max="9" width="13.85546875" customWidth="1"/>
  </cols>
  <sheetData>
    <row r="2" spans="2:9" ht="15.75" x14ac:dyDescent="0.25">
      <c r="C2" s="21" t="s">
        <v>17</v>
      </c>
    </row>
    <row r="3" spans="2:9" ht="15.75" customHeight="1" thickBot="1" x14ac:dyDescent="0.3"/>
    <row r="4" spans="2:9" ht="15.75" customHeight="1" thickBot="1" x14ac:dyDescent="0.3">
      <c r="B4" s="125" t="s">
        <v>8</v>
      </c>
      <c r="C4" s="125" t="s">
        <v>7</v>
      </c>
      <c r="D4" s="122" t="s">
        <v>1</v>
      </c>
      <c r="E4" s="123"/>
      <c r="F4" s="124"/>
      <c r="G4" s="122" t="s">
        <v>5</v>
      </c>
      <c r="H4" s="123"/>
      <c r="I4" s="124"/>
    </row>
    <row r="5" spans="2:9" ht="15.75" thickBot="1" x14ac:dyDescent="0.3">
      <c r="B5" s="126"/>
      <c r="C5" s="126"/>
      <c r="D5" s="13" t="s">
        <v>2</v>
      </c>
      <c r="E5" s="13" t="s">
        <v>3</v>
      </c>
      <c r="F5" s="13" t="s">
        <v>4</v>
      </c>
      <c r="G5" s="13" t="s">
        <v>2</v>
      </c>
      <c r="H5" s="13" t="s">
        <v>3</v>
      </c>
      <c r="I5" s="13" t="s">
        <v>4</v>
      </c>
    </row>
    <row r="6" spans="2:9" ht="15.75" thickBot="1" x14ac:dyDescent="0.3"/>
    <row r="7" spans="2:9" ht="20.100000000000001" customHeight="1" x14ac:dyDescent="0.25">
      <c r="B7" s="14"/>
      <c r="C7" s="15" t="s">
        <v>9</v>
      </c>
      <c r="D7" s="16">
        <v>12</v>
      </c>
      <c r="E7" s="15">
        <v>133.25892999999999</v>
      </c>
      <c r="F7" s="18">
        <f>+D7*E7</f>
        <v>1599.10716</v>
      </c>
      <c r="G7" s="19"/>
      <c r="H7" s="15"/>
      <c r="I7" s="20"/>
    </row>
    <row r="8" spans="2:9" ht="20.100000000000001" customHeight="1" x14ac:dyDescent="0.25">
      <c r="B8" s="87">
        <v>45688</v>
      </c>
      <c r="C8" s="5" t="s">
        <v>24</v>
      </c>
      <c r="D8" s="6"/>
      <c r="E8" s="5"/>
      <c r="F8" s="8"/>
      <c r="G8" s="9">
        <v>12</v>
      </c>
      <c r="H8" s="5">
        <v>133.25892999999999</v>
      </c>
      <c r="I8" s="10">
        <f>+G8*H8</f>
        <v>1599.10716</v>
      </c>
    </row>
    <row r="9" spans="2:9" ht="20.100000000000001" customHeight="1" x14ac:dyDescent="0.25">
      <c r="B9" s="87"/>
      <c r="C9" s="23" t="s">
        <v>10</v>
      </c>
      <c r="D9" s="6"/>
      <c r="E9" s="5"/>
      <c r="F9" s="8"/>
      <c r="G9" s="9"/>
      <c r="H9" s="5"/>
      <c r="I9" s="11"/>
    </row>
    <row r="10" spans="2:9" ht="20.100000000000001" customHeight="1" x14ac:dyDescent="0.25">
      <c r="B10" s="43"/>
      <c r="C10" s="49"/>
      <c r="D10" s="53"/>
      <c r="E10" s="49"/>
      <c r="F10" s="54"/>
      <c r="G10" s="55"/>
      <c r="H10" s="49"/>
      <c r="I10" s="60"/>
    </row>
    <row r="11" spans="2:9" ht="20.100000000000001" customHeight="1" x14ac:dyDescent="0.25">
      <c r="B11" s="92">
        <v>45700</v>
      </c>
      <c r="C11" s="44" t="s">
        <v>49</v>
      </c>
      <c r="D11" s="45">
        <v>50</v>
      </c>
      <c r="E11" s="44">
        <v>133.25892999999999</v>
      </c>
      <c r="F11" s="46">
        <f>+D11*E11</f>
        <v>6662.9465</v>
      </c>
      <c r="G11" s="47"/>
      <c r="H11" s="44"/>
      <c r="I11" s="48"/>
    </row>
    <row r="12" spans="2:9" ht="20.100000000000001" customHeight="1" x14ac:dyDescent="0.25">
      <c r="B12" s="85">
        <v>45716</v>
      </c>
      <c r="C12" s="44" t="s">
        <v>47</v>
      </c>
      <c r="D12" s="45"/>
      <c r="E12" s="44"/>
      <c r="F12" s="46"/>
      <c r="G12" s="47">
        <v>50</v>
      </c>
      <c r="H12" s="49">
        <v>133.25892999999999</v>
      </c>
      <c r="I12" s="56">
        <f>+G12*H12</f>
        <v>6662.9465</v>
      </c>
    </row>
    <row r="13" spans="2:9" ht="20.100000000000001" customHeight="1" x14ac:dyDescent="0.25">
      <c r="B13" s="85"/>
      <c r="C13" s="112" t="s">
        <v>10</v>
      </c>
      <c r="D13" s="45"/>
      <c r="E13" s="44"/>
      <c r="F13" s="46"/>
      <c r="G13" s="47"/>
      <c r="H13" s="44"/>
      <c r="I13" s="48"/>
    </row>
    <row r="14" spans="2:9" ht="20.100000000000001" customHeight="1" x14ac:dyDescent="0.25">
      <c r="B14" s="43"/>
      <c r="C14" s="49"/>
      <c r="D14" s="53"/>
      <c r="E14" s="49"/>
      <c r="F14" s="54"/>
      <c r="G14" s="55"/>
      <c r="H14" s="49"/>
      <c r="I14" s="60"/>
    </row>
    <row r="15" spans="2:9" ht="20.100000000000001" customHeight="1" x14ac:dyDescent="0.25">
      <c r="B15" s="115">
        <v>45729</v>
      </c>
      <c r="C15" s="5" t="s">
        <v>51</v>
      </c>
      <c r="D15" s="6">
        <v>50</v>
      </c>
      <c r="E15" s="5">
        <v>133.25892999999999</v>
      </c>
      <c r="F15" s="8">
        <f>+D15*E15</f>
        <v>6662.9465</v>
      </c>
      <c r="G15" s="9"/>
      <c r="H15" s="5"/>
      <c r="I15" s="10"/>
    </row>
    <row r="16" spans="2:9" ht="20.100000000000001" customHeight="1" x14ac:dyDescent="0.25">
      <c r="B16" s="87">
        <v>45747</v>
      </c>
      <c r="C16" s="5" t="s">
        <v>50</v>
      </c>
      <c r="D16" s="6"/>
      <c r="E16" s="5"/>
      <c r="F16" s="8"/>
      <c r="G16" s="9">
        <v>45</v>
      </c>
      <c r="H16" s="5">
        <v>133.25892999999999</v>
      </c>
      <c r="I16" s="10">
        <f>+G16*H16</f>
        <v>5996.6518499999993</v>
      </c>
    </row>
    <row r="17" spans="2:9" ht="20.100000000000001" customHeight="1" x14ac:dyDescent="0.25">
      <c r="B17" s="87"/>
      <c r="C17" s="23" t="s">
        <v>10</v>
      </c>
      <c r="D17" s="6"/>
      <c r="E17" s="5"/>
      <c r="F17" s="8"/>
      <c r="G17" s="9"/>
      <c r="H17" s="5"/>
      <c r="I17" s="11"/>
    </row>
    <row r="18" spans="2:9" ht="20.100000000000001" customHeight="1" x14ac:dyDescent="0.25">
      <c r="B18" s="43"/>
      <c r="C18" s="51"/>
      <c r="D18" s="45"/>
      <c r="E18" s="44"/>
      <c r="F18" s="46"/>
      <c r="G18" s="47"/>
      <c r="H18" s="44"/>
      <c r="I18" s="56"/>
    </row>
    <row r="19" spans="2:9" ht="20.100000000000001" customHeight="1" x14ac:dyDescent="0.25">
      <c r="B19" s="92">
        <v>45777</v>
      </c>
      <c r="C19" s="44" t="s">
        <v>54</v>
      </c>
      <c r="D19" s="45"/>
      <c r="E19" s="44"/>
      <c r="F19" s="46"/>
      <c r="G19" s="47">
        <v>5</v>
      </c>
      <c r="H19" s="49">
        <v>133.25892999999999</v>
      </c>
      <c r="I19" s="56">
        <f>+G19*H19</f>
        <v>666.29464999999993</v>
      </c>
    </row>
    <row r="20" spans="2:9" ht="20.100000000000001" customHeight="1" x14ac:dyDescent="0.25">
      <c r="B20" s="85"/>
      <c r="C20" s="112" t="s">
        <v>10</v>
      </c>
      <c r="D20" s="45"/>
      <c r="E20" s="44"/>
      <c r="F20" s="46"/>
      <c r="G20" s="47"/>
      <c r="H20" s="44"/>
      <c r="I20" s="48"/>
    </row>
    <row r="21" spans="2:9" ht="20.100000000000001" customHeight="1" x14ac:dyDescent="0.25">
      <c r="B21" s="43"/>
      <c r="C21" s="49"/>
      <c r="D21" s="53"/>
      <c r="E21" s="49"/>
      <c r="F21" s="54"/>
      <c r="G21" s="55"/>
      <c r="H21" s="49"/>
      <c r="I21" s="60"/>
    </row>
    <row r="22" spans="2:9" ht="20.100000000000001" customHeight="1" x14ac:dyDescent="0.25">
      <c r="B22" s="115">
        <v>45797</v>
      </c>
      <c r="C22" s="5" t="s">
        <v>57</v>
      </c>
      <c r="D22" s="6">
        <v>50</v>
      </c>
      <c r="E22" s="5">
        <v>133.25892999999999</v>
      </c>
      <c r="F22" s="8">
        <f>+D22*E22</f>
        <v>6662.9465</v>
      </c>
      <c r="G22" s="9"/>
      <c r="H22" s="5"/>
      <c r="I22" s="10"/>
    </row>
    <row r="23" spans="2:9" ht="20.100000000000001" customHeight="1" x14ac:dyDescent="0.25">
      <c r="B23" s="87">
        <v>45808</v>
      </c>
      <c r="C23" s="5" t="s">
        <v>60</v>
      </c>
      <c r="D23" s="6"/>
      <c r="E23" s="5"/>
      <c r="F23" s="8"/>
      <c r="G23" s="9">
        <v>42</v>
      </c>
      <c r="H23" s="5">
        <v>133.25892999999999</v>
      </c>
      <c r="I23" s="10">
        <f>+G23*H23</f>
        <v>5596.8750599999994</v>
      </c>
    </row>
    <row r="24" spans="2:9" ht="20.100000000000001" customHeight="1" x14ac:dyDescent="0.25">
      <c r="B24" s="87"/>
      <c r="C24" s="23" t="s">
        <v>10</v>
      </c>
      <c r="D24" s="6"/>
      <c r="E24" s="5"/>
      <c r="F24" s="8"/>
      <c r="G24" s="9"/>
      <c r="H24" s="5"/>
      <c r="I24" s="11"/>
    </row>
    <row r="25" spans="2:9" ht="20.100000000000001" customHeight="1" x14ac:dyDescent="0.25">
      <c r="B25" s="43"/>
      <c r="C25" s="51"/>
      <c r="D25" s="45"/>
      <c r="E25" s="44"/>
      <c r="F25" s="46"/>
      <c r="G25" s="47"/>
      <c r="H25" s="44"/>
      <c r="I25" s="56"/>
    </row>
    <row r="26" spans="2:9" ht="20.100000000000001" customHeight="1" x14ac:dyDescent="0.25">
      <c r="B26" s="92">
        <v>45832</v>
      </c>
      <c r="C26" s="44" t="s">
        <v>62</v>
      </c>
      <c r="D26" s="45">
        <v>50</v>
      </c>
      <c r="E26" s="44">
        <v>133.25892999999999</v>
      </c>
      <c r="F26" s="46">
        <f>+D26*E26</f>
        <v>6662.9465</v>
      </c>
      <c r="G26" s="47"/>
      <c r="H26" s="44"/>
      <c r="I26" s="56"/>
    </row>
    <row r="27" spans="2:9" ht="20.100000000000001" customHeight="1" x14ac:dyDescent="0.25">
      <c r="B27" s="85">
        <v>45838</v>
      </c>
      <c r="C27" s="44" t="s">
        <v>63</v>
      </c>
      <c r="D27" s="45"/>
      <c r="E27" s="44"/>
      <c r="F27" s="46"/>
      <c r="G27" s="47">
        <v>38</v>
      </c>
      <c r="H27" s="44">
        <v>133.25892999999999</v>
      </c>
      <c r="I27" s="56">
        <f>+G27*H27</f>
        <v>5063.8393399999995</v>
      </c>
    </row>
    <row r="28" spans="2:9" ht="20.100000000000001" customHeight="1" x14ac:dyDescent="0.25">
      <c r="B28" s="85"/>
      <c r="C28" s="109" t="s">
        <v>10</v>
      </c>
      <c r="D28" s="45"/>
      <c r="E28" s="44"/>
      <c r="F28" s="46"/>
      <c r="G28" s="47"/>
      <c r="H28" s="44"/>
      <c r="I28" s="48"/>
    </row>
    <row r="29" spans="2:9" ht="20.100000000000001" customHeight="1" x14ac:dyDescent="0.25">
      <c r="B29" s="43"/>
      <c r="C29" s="49"/>
      <c r="D29" s="53"/>
      <c r="E29" s="49"/>
      <c r="F29" s="54"/>
      <c r="G29" s="55"/>
      <c r="H29" s="49"/>
      <c r="I29" s="60"/>
    </row>
    <row r="30" spans="2:9" ht="20.100000000000001" customHeight="1" x14ac:dyDescent="0.25">
      <c r="B30" s="115">
        <v>45869</v>
      </c>
      <c r="C30" s="5" t="s">
        <v>64</v>
      </c>
      <c r="D30" s="6"/>
      <c r="E30" s="5"/>
      <c r="F30" s="8"/>
      <c r="G30" s="9">
        <v>20</v>
      </c>
      <c r="H30" s="5">
        <v>133.25892999999999</v>
      </c>
      <c r="I30" s="10">
        <f>+G30*H30</f>
        <v>2665.1785999999997</v>
      </c>
    </row>
    <row r="31" spans="2:9" ht="20.100000000000001" customHeight="1" x14ac:dyDescent="0.25">
      <c r="B31" s="87"/>
      <c r="C31" s="23" t="s">
        <v>10</v>
      </c>
      <c r="D31" s="6"/>
      <c r="E31" s="5"/>
      <c r="F31" s="8"/>
      <c r="G31" s="9"/>
      <c r="H31" s="5"/>
      <c r="I31" s="11"/>
    </row>
    <row r="32" spans="2:9" ht="20.100000000000001" customHeight="1" x14ac:dyDescent="0.25">
      <c r="B32" s="43"/>
      <c r="C32" s="49"/>
      <c r="D32" s="53"/>
      <c r="E32" s="49"/>
      <c r="F32" s="54"/>
      <c r="G32" s="55"/>
      <c r="H32" s="49"/>
      <c r="I32" s="60"/>
    </row>
    <row r="33" spans="2:9" ht="20.100000000000001" customHeight="1" x14ac:dyDescent="0.25">
      <c r="B33" s="92">
        <v>45895</v>
      </c>
      <c r="C33" s="44" t="s">
        <v>69</v>
      </c>
      <c r="D33" s="45">
        <v>50</v>
      </c>
      <c r="E33" s="44">
        <v>133.25892999999999</v>
      </c>
      <c r="F33" s="46">
        <f>+D33*E33</f>
        <v>6662.9465</v>
      </c>
      <c r="G33" s="47"/>
      <c r="H33" s="44"/>
      <c r="I33" s="56"/>
    </row>
    <row r="34" spans="2:9" ht="20.100000000000001" customHeight="1" x14ac:dyDescent="0.25">
      <c r="B34" s="85">
        <v>45900</v>
      </c>
      <c r="C34" s="44" t="s">
        <v>67</v>
      </c>
      <c r="D34" s="45"/>
      <c r="E34" s="44"/>
      <c r="F34" s="46"/>
      <c r="G34" s="47">
        <v>37</v>
      </c>
      <c r="H34" s="44">
        <v>133.25892999999999</v>
      </c>
      <c r="I34" s="56">
        <f>+G34*H34</f>
        <v>4930.5804099999996</v>
      </c>
    </row>
    <row r="35" spans="2:9" ht="20.100000000000001" customHeight="1" x14ac:dyDescent="0.25">
      <c r="B35" s="85"/>
      <c r="C35" s="109" t="s">
        <v>10</v>
      </c>
      <c r="D35" s="45"/>
      <c r="E35" s="44"/>
      <c r="F35" s="46"/>
      <c r="G35" s="47"/>
      <c r="H35" s="44"/>
      <c r="I35" s="48"/>
    </row>
    <row r="36" spans="2:9" ht="20.100000000000001" customHeight="1" x14ac:dyDescent="0.25">
      <c r="B36" s="43"/>
      <c r="C36" s="49"/>
      <c r="D36" s="53"/>
      <c r="E36" s="49"/>
      <c r="F36" s="54"/>
      <c r="G36" s="55"/>
      <c r="H36" s="49"/>
      <c r="I36" s="60"/>
    </row>
    <row r="37" spans="2:9" ht="20.100000000000001" customHeight="1" x14ac:dyDescent="0.25">
      <c r="B37" s="115">
        <v>45930</v>
      </c>
      <c r="C37" s="5" t="s">
        <v>71</v>
      </c>
      <c r="D37" s="6">
        <v>50</v>
      </c>
      <c r="E37" s="5">
        <v>133.25892999999999</v>
      </c>
      <c r="F37" s="8">
        <f>+D37*E37</f>
        <v>6662.9465</v>
      </c>
      <c r="G37" s="9"/>
      <c r="H37" s="5"/>
      <c r="I37" s="10"/>
    </row>
    <row r="38" spans="2:9" ht="20.100000000000001" customHeight="1" x14ac:dyDescent="0.25">
      <c r="B38" s="87">
        <v>45930</v>
      </c>
      <c r="C38" s="5" t="s">
        <v>72</v>
      </c>
      <c r="D38" s="6"/>
      <c r="E38" s="5"/>
      <c r="F38" s="8"/>
      <c r="G38" s="9">
        <v>37</v>
      </c>
      <c r="H38" s="5">
        <v>133.25892999999999</v>
      </c>
      <c r="I38" s="10">
        <f>+G38*H38</f>
        <v>4930.5804099999996</v>
      </c>
    </row>
    <row r="39" spans="2:9" ht="20.100000000000001" customHeight="1" x14ac:dyDescent="0.25">
      <c r="B39" s="87"/>
      <c r="C39" s="23" t="s">
        <v>10</v>
      </c>
      <c r="D39" s="6"/>
      <c r="E39" s="5"/>
      <c r="F39" s="8"/>
      <c r="G39" s="9"/>
      <c r="H39" s="5"/>
      <c r="I39" s="11"/>
    </row>
    <row r="40" spans="2:9" ht="20.100000000000001" customHeight="1" x14ac:dyDescent="0.25">
      <c r="B40" s="43"/>
      <c r="C40" s="49"/>
      <c r="D40" s="53"/>
      <c r="E40" s="49"/>
      <c r="F40" s="46"/>
      <c r="G40" s="47"/>
      <c r="H40" s="44"/>
      <c r="I40" s="56"/>
    </row>
    <row r="41" spans="2:9" ht="20.100000000000001" customHeight="1" x14ac:dyDescent="0.25">
      <c r="B41" s="92">
        <v>45961</v>
      </c>
      <c r="C41" s="44" t="s">
        <v>74</v>
      </c>
      <c r="D41" s="45"/>
      <c r="E41" s="44"/>
      <c r="F41" s="46"/>
      <c r="G41" s="47">
        <v>21</v>
      </c>
      <c r="H41" s="44">
        <v>133.25892999999999</v>
      </c>
      <c r="I41" s="56">
        <f>+G41*H41</f>
        <v>2798.4375299999997</v>
      </c>
    </row>
    <row r="42" spans="2:9" ht="20.100000000000001" customHeight="1" x14ac:dyDescent="0.25">
      <c r="B42" s="85"/>
      <c r="C42" s="109" t="s">
        <v>10</v>
      </c>
      <c r="D42" s="45"/>
      <c r="E42" s="44"/>
      <c r="F42" s="46"/>
      <c r="G42" s="47"/>
      <c r="H42" s="44"/>
      <c r="I42" s="48"/>
    </row>
    <row r="43" spans="2:9" ht="20.100000000000001" customHeight="1" x14ac:dyDescent="0.25">
      <c r="B43" s="43"/>
      <c r="C43" s="49"/>
      <c r="D43" s="53"/>
      <c r="E43" s="49"/>
      <c r="F43" s="54"/>
      <c r="G43" s="55"/>
      <c r="H43" s="49"/>
      <c r="I43" s="60"/>
    </row>
    <row r="44" spans="2:9" ht="20.100000000000001" customHeight="1" x14ac:dyDescent="0.25">
      <c r="B44" s="115">
        <v>45991</v>
      </c>
      <c r="C44" s="5" t="s">
        <v>79</v>
      </c>
      <c r="D44" s="6"/>
      <c r="E44" s="5"/>
      <c r="F44" s="8"/>
      <c r="G44" s="9">
        <v>5</v>
      </c>
      <c r="H44" s="5">
        <v>133.25892999999999</v>
      </c>
      <c r="I44" s="10">
        <f>+G44*H44</f>
        <v>666.29464999999993</v>
      </c>
    </row>
    <row r="45" spans="2:9" ht="20.100000000000001" customHeight="1" x14ac:dyDescent="0.25">
      <c r="B45" s="87"/>
      <c r="C45" s="23" t="s">
        <v>10</v>
      </c>
      <c r="D45" s="6"/>
      <c r="E45" s="5"/>
      <c r="F45" s="8"/>
      <c r="G45" s="9"/>
      <c r="H45" s="5"/>
      <c r="I45" s="11"/>
    </row>
    <row r="46" spans="2:9" ht="20.100000000000001" customHeight="1" x14ac:dyDescent="0.25">
      <c r="B46" s="43"/>
      <c r="C46" s="49"/>
      <c r="D46" s="53"/>
      <c r="E46" s="49"/>
      <c r="F46" s="54"/>
      <c r="G46" s="55"/>
      <c r="H46" s="49"/>
      <c r="I46" s="60"/>
    </row>
    <row r="47" spans="2:9" ht="20.100000000000001" customHeight="1" x14ac:dyDescent="0.25">
      <c r="B47" s="92">
        <v>46000</v>
      </c>
      <c r="C47" s="44" t="s">
        <v>82</v>
      </c>
      <c r="D47" s="45">
        <v>50</v>
      </c>
      <c r="E47" s="44">
        <v>133.25892999999999</v>
      </c>
      <c r="F47" s="46">
        <f>+D47*E47</f>
        <v>6662.9465</v>
      </c>
      <c r="G47" s="47"/>
      <c r="H47" s="44"/>
      <c r="I47" s="56"/>
    </row>
    <row r="48" spans="2:9" ht="20.100000000000001" customHeight="1" x14ac:dyDescent="0.25">
      <c r="B48" s="85">
        <v>46022</v>
      </c>
      <c r="C48" s="44" t="s">
        <v>83</v>
      </c>
      <c r="D48" s="45"/>
      <c r="E48" s="44"/>
      <c r="F48" s="46"/>
      <c r="G48" s="47">
        <v>28</v>
      </c>
      <c r="H48" s="44">
        <v>133.25892999999999</v>
      </c>
      <c r="I48" s="56">
        <f>+G48*H48</f>
        <v>3731.2500399999999</v>
      </c>
    </row>
    <row r="49" spans="2:11" ht="20.100000000000001" customHeight="1" x14ac:dyDescent="0.25">
      <c r="B49" s="85"/>
      <c r="C49" s="109" t="s">
        <v>10</v>
      </c>
      <c r="D49" s="45"/>
      <c r="E49" s="44"/>
      <c r="F49" s="46"/>
      <c r="G49" s="47"/>
      <c r="H49" s="44"/>
      <c r="I49" s="48"/>
    </row>
    <row r="50" spans="2:11" ht="20.100000000000001" customHeight="1" x14ac:dyDescent="0.25">
      <c r="B50" s="52"/>
      <c r="C50" s="50"/>
      <c r="D50" s="45"/>
      <c r="E50" s="44"/>
      <c r="F50" s="46"/>
      <c r="G50" s="47"/>
      <c r="H50" s="44"/>
      <c r="I50" s="56"/>
    </row>
    <row r="51" spans="2:11" ht="20.100000000000001" customHeight="1" x14ac:dyDescent="0.25">
      <c r="B51" s="52"/>
      <c r="C51" s="50"/>
      <c r="D51" s="45"/>
      <c r="E51" s="44"/>
      <c r="F51" s="46"/>
      <c r="G51" s="47"/>
      <c r="H51" s="44"/>
      <c r="I51" s="48"/>
    </row>
    <row r="52" spans="2:11" ht="20.100000000000001" customHeight="1" thickBot="1" x14ac:dyDescent="0.3">
      <c r="B52" s="52"/>
      <c r="C52" s="66" t="s">
        <v>6</v>
      </c>
      <c r="D52" s="67">
        <f>SUM(D7:D51)</f>
        <v>362</v>
      </c>
      <c r="E52" s="68"/>
      <c r="F52" s="69">
        <f>SUM(F7:F51)</f>
        <v>48239.732659999994</v>
      </c>
      <c r="G52" s="67">
        <f>SUM(G7:G51)</f>
        <v>340</v>
      </c>
      <c r="H52" s="68"/>
      <c r="I52" s="70">
        <f>SUM(I7:I51)</f>
        <v>45308.036200000002</v>
      </c>
      <c r="K52" s="34"/>
    </row>
    <row r="53" spans="2:11" ht="20.100000000000001" customHeight="1" thickTop="1" thickBot="1" x14ac:dyDescent="0.3">
      <c r="B53" s="71"/>
      <c r="C53" s="72"/>
      <c r="D53" s="78"/>
      <c r="E53" s="72"/>
      <c r="F53" s="79"/>
      <c r="G53" s="80"/>
      <c r="H53" s="72"/>
      <c r="I53" s="81"/>
    </row>
    <row r="56" spans="2:11" x14ac:dyDescent="0.25">
      <c r="I56" s="3"/>
    </row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</sheetData>
  <mergeCells count="4">
    <mergeCell ref="B4:B5"/>
    <mergeCell ref="C4:C5"/>
    <mergeCell ref="D4:F4"/>
    <mergeCell ref="G4:I4"/>
  </mergeCells>
  <pageMargins left="0.31496062992125984" right="0.31496062992125984" top="0.55118110236220474" bottom="0.55118110236220474" header="0.31496062992125984" footer="0.31496062992125984"/>
  <pageSetup scale="74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209E8-C306-447F-B810-0BF460B2B40D}">
  <sheetPr>
    <tabColor theme="9" tint="0.39997558519241921"/>
  </sheetPr>
  <dimension ref="B2:K53"/>
  <sheetViews>
    <sheetView topLeftCell="A31" workbookViewId="0">
      <selection activeCell="E45" sqref="E45"/>
    </sheetView>
  </sheetViews>
  <sheetFormatPr baseColWidth="10" defaultRowHeight="15" x14ac:dyDescent="0.25"/>
  <cols>
    <col min="1" max="1" width="4.5703125" customWidth="1"/>
    <col min="2" max="2" width="11.85546875" customWidth="1"/>
    <col min="3" max="3" width="43.5703125" customWidth="1"/>
    <col min="4" max="4" width="14.140625" bestFit="1" customWidth="1"/>
    <col min="6" max="6" width="13.42578125" customWidth="1"/>
    <col min="9" max="9" width="13.85546875" customWidth="1"/>
  </cols>
  <sheetData>
    <row r="2" spans="2:9" ht="15.75" x14ac:dyDescent="0.25">
      <c r="C2" s="21" t="s">
        <v>35</v>
      </c>
    </row>
    <row r="3" spans="2:9" ht="15.75" thickBot="1" x14ac:dyDescent="0.3"/>
    <row r="4" spans="2:9" ht="15.75" thickBot="1" x14ac:dyDescent="0.3">
      <c r="B4" s="125" t="s">
        <v>8</v>
      </c>
      <c r="C4" s="125" t="s">
        <v>7</v>
      </c>
      <c r="D4" s="122" t="s">
        <v>1</v>
      </c>
      <c r="E4" s="123"/>
      <c r="F4" s="124"/>
      <c r="G4" s="122" t="s">
        <v>5</v>
      </c>
      <c r="H4" s="123"/>
      <c r="I4" s="124"/>
    </row>
    <row r="5" spans="2:9" ht="15.75" thickBot="1" x14ac:dyDescent="0.3">
      <c r="B5" s="126"/>
      <c r="C5" s="126"/>
      <c r="D5" s="13" t="s">
        <v>2</v>
      </c>
      <c r="E5" s="13" t="s">
        <v>3</v>
      </c>
      <c r="F5" s="13" t="s">
        <v>4</v>
      </c>
      <c r="G5" s="13" t="s">
        <v>2</v>
      </c>
      <c r="H5" s="13" t="s">
        <v>3</v>
      </c>
      <c r="I5" s="13" t="s">
        <v>4</v>
      </c>
    </row>
    <row r="6" spans="2:9" ht="15.75" thickBot="1" x14ac:dyDescent="0.3"/>
    <row r="7" spans="2:9" ht="20.100000000000001" customHeight="1" x14ac:dyDescent="0.25">
      <c r="B7" s="14"/>
      <c r="C7" s="15" t="s">
        <v>9</v>
      </c>
      <c r="D7" s="16">
        <v>0</v>
      </c>
      <c r="E7" s="15">
        <v>91.598209999999995</v>
      </c>
      <c r="F7" s="18">
        <f>+D7*E7</f>
        <v>0</v>
      </c>
      <c r="G7" s="19"/>
      <c r="H7" s="15"/>
      <c r="I7" s="20"/>
    </row>
    <row r="8" spans="2:9" ht="20.100000000000001" customHeight="1" x14ac:dyDescent="0.25">
      <c r="B8" s="87">
        <v>45688</v>
      </c>
      <c r="C8" s="5" t="s">
        <v>24</v>
      </c>
      <c r="D8" s="6"/>
      <c r="E8" s="5"/>
      <c r="F8" s="8"/>
      <c r="G8" s="9">
        <v>0</v>
      </c>
      <c r="H8" s="5">
        <v>91.598209999999995</v>
      </c>
      <c r="I8" s="10">
        <f>+G8*H8</f>
        <v>0</v>
      </c>
    </row>
    <row r="9" spans="2:9" x14ac:dyDescent="0.25">
      <c r="B9" s="87"/>
      <c r="C9" s="23" t="s">
        <v>10</v>
      </c>
      <c r="D9" s="6"/>
      <c r="E9" s="5"/>
      <c r="F9" s="8"/>
      <c r="G9" s="9"/>
      <c r="H9" s="5"/>
      <c r="I9" s="11"/>
    </row>
    <row r="10" spans="2:9" ht="20.100000000000001" customHeight="1" x14ac:dyDescent="0.25">
      <c r="B10" s="85"/>
      <c r="C10" s="112"/>
      <c r="D10" s="53"/>
      <c r="E10" s="49"/>
      <c r="F10" s="54"/>
      <c r="G10" s="55"/>
      <c r="H10" s="49"/>
      <c r="I10" s="93"/>
    </row>
    <row r="11" spans="2:9" ht="20.100000000000001" customHeight="1" x14ac:dyDescent="0.25">
      <c r="B11" s="92">
        <v>45700</v>
      </c>
      <c r="C11" s="44" t="s">
        <v>49</v>
      </c>
      <c r="D11" s="45">
        <v>30</v>
      </c>
      <c r="E11" s="44">
        <v>91.598209999999995</v>
      </c>
      <c r="F11" s="46">
        <f>+D11*E11</f>
        <v>2747.9462999999996</v>
      </c>
      <c r="G11" s="47"/>
      <c r="H11" s="44"/>
      <c r="I11" s="48"/>
    </row>
    <row r="12" spans="2:9" ht="20.100000000000001" customHeight="1" x14ac:dyDescent="0.25">
      <c r="B12" s="85">
        <v>45716</v>
      </c>
      <c r="C12" s="44" t="s">
        <v>47</v>
      </c>
      <c r="D12" s="45"/>
      <c r="E12" s="44"/>
      <c r="F12" s="46"/>
      <c r="G12" s="47">
        <v>14</v>
      </c>
      <c r="H12" s="49">
        <v>91.598209999999995</v>
      </c>
      <c r="I12" s="56">
        <f>+G12*H12</f>
        <v>1282.3749399999999</v>
      </c>
    </row>
    <row r="13" spans="2:9" ht="20.100000000000001" customHeight="1" x14ac:dyDescent="0.25">
      <c r="B13" s="85"/>
      <c r="C13" s="112" t="s">
        <v>10</v>
      </c>
      <c r="D13" s="45"/>
      <c r="E13" s="44"/>
      <c r="F13" s="46"/>
      <c r="G13" s="47"/>
      <c r="H13" s="44"/>
      <c r="I13" s="48"/>
    </row>
    <row r="14" spans="2:9" ht="20.100000000000001" customHeight="1" x14ac:dyDescent="0.25">
      <c r="B14" s="85"/>
      <c r="C14" s="112"/>
      <c r="D14" s="53"/>
      <c r="E14" s="49"/>
      <c r="F14" s="54"/>
      <c r="G14" s="55"/>
      <c r="H14" s="49"/>
      <c r="I14" s="93"/>
    </row>
    <row r="15" spans="2:9" ht="20.100000000000001" customHeight="1" x14ac:dyDescent="0.25">
      <c r="B15" s="115">
        <v>45747</v>
      </c>
      <c r="C15" s="5" t="s">
        <v>50</v>
      </c>
      <c r="D15" s="6"/>
      <c r="E15" s="5"/>
      <c r="F15" s="8"/>
      <c r="G15" s="9">
        <v>1</v>
      </c>
      <c r="H15" s="5">
        <v>91.598209999999995</v>
      </c>
      <c r="I15" s="10">
        <f>+G15*H15</f>
        <v>91.598209999999995</v>
      </c>
    </row>
    <row r="16" spans="2:9" ht="20.100000000000001" customHeight="1" x14ac:dyDescent="0.25">
      <c r="B16" s="87"/>
      <c r="C16" s="23" t="s">
        <v>10</v>
      </c>
      <c r="D16" s="6"/>
      <c r="E16" s="5"/>
      <c r="F16" s="8"/>
      <c r="G16" s="9"/>
      <c r="H16" s="5"/>
      <c r="I16" s="11"/>
    </row>
    <row r="17" spans="2:9" ht="20.100000000000001" customHeight="1" x14ac:dyDescent="0.25">
      <c r="B17" s="101"/>
      <c r="C17" s="113"/>
      <c r="D17" s="45"/>
      <c r="E17" s="44"/>
      <c r="F17" s="46"/>
      <c r="G17" s="47"/>
      <c r="H17" s="44"/>
      <c r="I17" s="48"/>
    </row>
    <row r="18" spans="2:9" ht="20.100000000000001" customHeight="1" x14ac:dyDescent="0.25">
      <c r="B18" s="85">
        <v>45777</v>
      </c>
      <c r="C18" s="44" t="s">
        <v>55</v>
      </c>
      <c r="D18" s="45"/>
      <c r="E18" s="44"/>
      <c r="F18" s="46"/>
      <c r="G18" s="47">
        <v>7</v>
      </c>
      <c r="H18" s="49">
        <v>91.598209999999995</v>
      </c>
      <c r="I18" s="56">
        <f>+G18*H18</f>
        <v>641.18746999999996</v>
      </c>
    </row>
    <row r="19" spans="2:9" ht="20.100000000000001" customHeight="1" x14ac:dyDescent="0.25">
      <c r="B19" s="85"/>
      <c r="C19" s="112" t="s">
        <v>10</v>
      </c>
      <c r="D19" s="45"/>
      <c r="E19" s="44"/>
      <c r="F19" s="46"/>
      <c r="G19" s="47"/>
      <c r="H19" s="44"/>
      <c r="I19" s="48"/>
    </row>
    <row r="20" spans="2:9" ht="20.100000000000001" customHeight="1" x14ac:dyDescent="0.25">
      <c r="B20" s="85"/>
      <c r="C20" s="112"/>
      <c r="D20" s="53"/>
      <c r="E20" s="49"/>
      <c r="F20" s="54"/>
      <c r="G20" s="55"/>
      <c r="H20" s="49"/>
      <c r="I20" s="93"/>
    </row>
    <row r="21" spans="2:9" ht="20.100000000000001" customHeight="1" x14ac:dyDescent="0.25">
      <c r="B21" s="115">
        <v>45808</v>
      </c>
      <c r="C21" s="5" t="s">
        <v>60</v>
      </c>
      <c r="D21" s="6"/>
      <c r="E21" s="5"/>
      <c r="F21" s="8"/>
      <c r="G21" s="9">
        <v>4</v>
      </c>
      <c r="H21" s="5">
        <v>91.598209999999995</v>
      </c>
      <c r="I21" s="10">
        <f>+G21*H21</f>
        <v>366.39283999999998</v>
      </c>
    </row>
    <row r="22" spans="2:9" ht="20.100000000000001" customHeight="1" x14ac:dyDescent="0.25">
      <c r="B22" s="87"/>
      <c r="C22" s="23" t="s">
        <v>10</v>
      </c>
      <c r="D22" s="6"/>
      <c r="E22" s="5"/>
      <c r="F22" s="8"/>
      <c r="G22" s="9"/>
      <c r="H22" s="5"/>
      <c r="I22" s="11"/>
    </row>
    <row r="23" spans="2:9" ht="20.100000000000001" customHeight="1" x14ac:dyDescent="0.25">
      <c r="B23" s="101"/>
      <c r="C23" s="113"/>
      <c r="D23" s="45"/>
      <c r="E23" s="44"/>
      <c r="F23" s="46"/>
      <c r="G23" s="47"/>
      <c r="H23" s="44"/>
      <c r="I23" s="48"/>
    </row>
    <row r="24" spans="2:9" ht="20.100000000000001" customHeight="1" x14ac:dyDescent="0.25">
      <c r="B24" s="85">
        <v>45838</v>
      </c>
      <c r="C24" s="44" t="s">
        <v>63</v>
      </c>
      <c r="D24" s="45"/>
      <c r="E24" s="44"/>
      <c r="F24" s="46"/>
      <c r="G24" s="47">
        <v>4</v>
      </c>
      <c r="H24" s="49">
        <v>91.598209999999995</v>
      </c>
      <c r="I24" s="56">
        <f>+G24*H24</f>
        <v>366.39283999999998</v>
      </c>
    </row>
    <row r="25" spans="2:9" ht="20.100000000000001" customHeight="1" x14ac:dyDescent="0.25">
      <c r="B25" s="85"/>
      <c r="C25" s="112" t="s">
        <v>10</v>
      </c>
      <c r="D25" s="53"/>
      <c r="E25" s="49"/>
      <c r="F25" s="54"/>
      <c r="G25" s="55"/>
      <c r="H25" s="49"/>
      <c r="I25" s="93"/>
    </row>
    <row r="26" spans="2:9" ht="20.100000000000001" customHeight="1" x14ac:dyDescent="0.25">
      <c r="B26" s="85"/>
      <c r="C26" s="112"/>
      <c r="D26" s="45"/>
      <c r="E26" s="44"/>
      <c r="F26" s="46"/>
      <c r="G26" s="47"/>
      <c r="H26" s="44"/>
      <c r="I26" s="48"/>
    </row>
    <row r="27" spans="2:9" ht="20.100000000000001" customHeight="1" x14ac:dyDescent="0.25">
      <c r="B27" s="115">
        <v>45859</v>
      </c>
      <c r="C27" s="5" t="s">
        <v>66</v>
      </c>
      <c r="D27" s="6">
        <v>30</v>
      </c>
      <c r="E27" s="5">
        <v>91.598209999999995</v>
      </c>
      <c r="F27" s="8">
        <f>+D27*E27</f>
        <v>2747.9462999999996</v>
      </c>
      <c r="G27" s="9"/>
      <c r="H27" s="5"/>
      <c r="I27" s="11"/>
    </row>
    <row r="28" spans="2:9" ht="20.100000000000001" customHeight="1" x14ac:dyDescent="0.25">
      <c r="B28" s="87">
        <v>45869</v>
      </c>
      <c r="C28" s="5" t="s">
        <v>64</v>
      </c>
      <c r="D28" s="6"/>
      <c r="E28" s="5"/>
      <c r="F28" s="8"/>
      <c r="G28" s="9">
        <v>15</v>
      </c>
      <c r="H28" s="12">
        <v>91.598209999999995</v>
      </c>
      <c r="I28" s="10">
        <f>+G28*H28</f>
        <v>1373.9731499999998</v>
      </c>
    </row>
    <row r="29" spans="2:9" ht="20.100000000000001" customHeight="1" x14ac:dyDescent="0.25">
      <c r="B29" s="87"/>
      <c r="C29" s="25" t="s">
        <v>10</v>
      </c>
      <c r="D29" s="6"/>
      <c r="E29" s="5"/>
      <c r="F29" s="8"/>
      <c r="G29" s="9"/>
      <c r="H29" s="5"/>
      <c r="I29" s="11"/>
    </row>
    <row r="30" spans="2:9" ht="20.100000000000001" customHeight="1" x14ac:dyDescent="0.25">
      <c r="B30" s="85"/>
      <c r="C30" s="113"/>
      <c r="D30" s="45"/>
      <c r="E30" s="44"/>
      <c r="F30" s="46"/>
      <c r="G30" s="47"/>
      <c r="H30" s="44"/>
      <c r="I30" s="48"/>
    </row>
    <row r="31" spans="2:9" ht="20.100000000000001" customHeight="1" x14ac:dyDescent="0.25">
      <c r="B31" s="92">
        <v>45900</v>
      </c>
      <c r="C31" s="44" t="s">
        <v>67</v>
      </c>
      <c r="D31" s="45"/>
      <c r="E31" s="44"/>
      <c r="F31" s="46"/>
      <c r="G31" s="47">
        <v>4</v>
      </c>
      <c r="H31" s="49">
        <v>91.598209999999995</v>
      </c>
      <c r="I31" s="56">
        <f>+G31*H31</f>
        <v>366.39283999999998</v>
      </c>
    </row>
    <row r="32" spans="2:9" ht="20.100000000000001" customHeight="1" x14ac:dyDescent="0.25">
      <c r="B32" s="85"/>
      <c r="C32" s="112" t="s">
        <v>10</v>
      </c>
      <c r="D32" s="45"/>
      <c r="E32" s="44"/>
      <c r="F32" s="46"/>
      <c r="G32" s="47"/>
      <c r="H32" s="44"/>
      <c r="I32" s="48"/>
    </row>
    <row r="33" spans="2:9" ht="20.100000000000001" customHeight="1" x14ac:dyDescent="0.25">
      <c r="B33" s="85"/>
      <c r="C33" s="112"/>
      <c r="D33" s="53"/>
      <c r="E33" s="49"/>
      <c r="F33" s="54"/>
      <c r="G33" s="55"/>
      <c r="H33" s="49"/>
      <c r="I33" s="48"/>
    </row>
    <row r="34" spans="2:9" ht="20.100000000000001" customHeight="1" x14ac:dyDescent="0.25">
      <c r="B34" s="115">
        <v>45930</v>
      </c>
      <c r="C34" s="5" t="s">
        <v>73</v>
      </c>
      <c r="D34" s="6"/>
      <c r="E34" s="5"/>
      <c r="F34" s="8"/>
      <c r="G34" s="9">
        <v>11</v>
      </c>
      <c r="H34" s="5">
        <v>91.598209999999995</v>
      </c>
      <c r="I34" s="10">
        <f>+G34*H34</f>
        <v>1007.5803099999999</v>
      </c>
    </row>
    <row r="35" spans="2:9" ht="20.100000000000001" customHeight="1" x14ac:dyDescent="0.25">
      <c r="B35" s="87"/>
      <c r="C35" s="25" t="s">
        <v>10</v>
      </c>
      <c r="D35" s="6"/>
      <c r="E35" s="5"/>
      <c r="F35" s="8"/>
      <c r="G35" s="9"/>
      <c r="H35" s="5"/>
      <c r="I35" s="11"/>
    </row>
    <row r="36" spans="2:9" ht="20.100000000000001" customHeight="1" x14ac:dyDescent="0.25">
      <c r="B36" s="85"/>
      <c r="C36" s="113"/>
      <c r="D36" s="45"/>
      <c r="E36" s="44"/>
      <c r="F36" s="46"/>
      <c r="G36" s="47"/>
      <c r="H36" s="44"/>
      <c r="I36" s="48"/>
    </row>
    <row r="37" spans="2:9" ht="20.100000000000001" customHeight="1" x14ac:dyDescent="0.25">
      <c r="B37" s="92">
        <v>45957</v>
      </c>
      <c r="C37" s="44" t="s">
        <v>75</v>
      </c>
      <c r="D37" s="45">
        <v>30</v>
      </c>
      <c r="E37" s="44">
        <v>91.598209999999995</v>
      </c>
      <c r="F37" s="46">
        <f>+D37*E37</f>
        <v>2747.9462999999996</v>
      </c>
      <c r="G37" s="47"/>
      <c r="H37" s="44"/>
      <c r="I37" s="48"/>
    </row>
    <row r="38" spans="2:9" ht="20.100000000000001" customHeight="1" x14ac:dyDescent="0.25">
      <c r="B38" s="85">
        <v>45869</v>
      </c>
      <c r="C38" s="44" t="s">
        <v>74</v>
      </c>
      <c r="D38" s="45"/>
      <c r="E38" s="44"/>
      <c r="F38" s="46"/>
      <c r="G38" s="47">
        <v>19</v>
      </c>
      <c r="H38" s="49">
        <v>91.598209999999995</v>
      </c>
      <c r="I38" s="56">
        <f>+G38*H38</f>
        <v>1740.3659899999998</v>
      </c>
    </row>
    <row r="39" spans="2:9" ht="20.100000000000001" customHeight="1" x14ac:dyDescent="0.25">
      <c r="B39" s="85"/>
      <c r="C39" s="112" t="s">
        <v>10</v>
      </c>
      <c r="D39" s="45"/>
      <c r="E39" s="44"/>
      <c r="F39" s="46"/>
      <c r="G39" s="47"/>
      <c r="H39" s="44"/>
      <c r="I39" s="48"/>
    </row>
    <row r="40" spans="2:9" ht="20.100000000000001" customHeight="1" x14ac:dyDescent="0.25">
      <c r="B40" s="85"/>
      <c r="C40" s="112"/>
      <c r="D40" s="53"/>
      <c r="E40" s="49"/>
      <c r="F40" s="54"/>
      <c r="G40" s="55"/>
      <c r="H40" s="49"/>
      <c r="I40" s="93"/>
    </row>
    <row r="41" spans="2:9" ht="20.100000000000001" customHeight="1" x14ac:dyDescent="0.25">
      <c r="B41" s="115">
        <v>45991</v>
      </c>
      <c r="C41" s="5" t="s">
        <v>77</v>
      </c>
      <c r="D41" s="6"/>
      <c r="E41" s="5"/>
      <c r="F41" s="8"/>
      <c r="G41" s="9">
        <v>11</v>
      </c>
      <c r="H41" s="5">
        <v>91.598209999999995</v>
      </c>
      <c r="I41" s="10">
        <f>+G41*H41</f>
        <v>1007.5803099999999</v>
      </c>
    </row>
    <row r="42" spans="2:9" ht="20.100000000000001" customHeight="1" x14ac:dyDescent="0.25">
      <c r="B42" s="87"/>
      <c r="C42" s="25" t="s">
        <v>10</v>
      </c>
      <c r="D42" s="6"/>
      <c r="E42" s="5"/>
      <c r="F42" s="8"/>
      <c r="G42" s="9"/>
      <c r="H42" s="5"/>
      <c r="I42" s="11"/>
    </row>
    <row r="43" spans="2:9" ht="20.100000000000001" customHeight="1" x14ac:dyDescent="0.25">
      <c r="B43" s="85"/>
      <c r="C43" s="113"/>
      <c r="D43" s="45"/>
      <c r="E43" s="44"/>
      <c r="F43" s="46"/>
      <c r="G43" s="47"/>
      <c r="H43" s="44"/>
      <c r="I43" s="48"/>
    </row>
    <row r="44" spans="2:9" ht="20.100000000000001" customHeight="1" x14ac:dyDescent="0.25">
      <c r="B44" s="92">
        <v>46022</v>
      </c>
      <c r="C44" s="44" t="s">
        <v>83</v>
      </c>
      <c r="D44" s="45"/>
      <c r="E44" s="44"/>
      <c r="F44" s="46"/>
      <c r="G44" s="47">
        <v>0</v>
      </c>
      <c r="H44" s="44">
        <v>91.598209999999995</v>
      </c>
      <c r="I44" s="56">
        <f>+G44*H44</f>
        <v>0</v>
      </c>
    </row>
    <row r="45" spans="2:9" ht="20.100000000000001" customHeight="1" x14ac:dyDescent="0.25">
      <c r="B45" s="85"/>
      <c r="C45" s="112" t="s">
        <v>10</v>
      </c>
      <c r="D45" s="45"/>
      <c r="E45" s="44"/>
      <c r="F45" s="46"/>
      <c r="G45" s="47"/>
      <c r="H45" s="44"/>
      <c r="I45" s="48"/>
    </row>
    <row r="46" spans="2:9" ht="20.100000000000001" customHeight="1" x14ac:dyDescent="0.25">
      <c r="B46" s="101"/>
      <c r="C46" s="109"/>
      <c r="D46" s="45"/>
      <c r="E46" s="44"/>
      <c r="F46" s="46"/>
      <c r="G46" s="47"/>
      <c r="H46" s="44"/>
      <c r="I46" s="48"/>
    </row>
    <row r="47" spans="2:9" ht="20.100000000000001" customHeight="1" x14ac:dyDescent="0.25">
      <c r="B47" s="52"/>
      <c r="C47" s="50"/>
      <c r="D47" s="45"/>
      <c r="E47" s="44"/>
      <c r="F47" s="46"/>
      <c r="G47" s="47"/>
      <c r="H47" s="44"/>
      <c r="I47" s="56"/>
    </row>
    <row r="48" spans="2:9" ht="20.100000000000001" customHeight="1" x14ac:dyDescent="0.25">
      <c r="B48" s="52"/>
      <c r="C48" s="50"/>
      <c r="D48" s="45"/>
      <c r="E48" s="44"/>
      <c r="F48" s="46"/>
      <c r="G48" s="47"/>
      <c r="H48" s="44"/>
      <c r="I48" s="48"/>
    </row>
    <row r="49" spans="2:11" ht="19.5" customHeight="1" thickBot="1" x14ac:dyDescent="0.3">
      <c r="B49" s="52"/>
      <c r="C49" s="66" t="s">
        <v>6</v>
      </c>
      <c r="D49" s="67">
        <f>SUM(D7:D48)</f>
        <v>90</v>
      </c>
      <c r="E49" s="68"/>
      <c r="F49" s="69">
        <f>SUM(F7:F48)</f>
        <v>8243.8388999999988</v>
      </c>
      <c r="G49" s="67">
        <f>SUM(G7:G48)</f>
        <v>90</v>
      </c>
      <c r="H49" s="68"/>
      <c r="I49" s="70">
        <f>SUM(I7:I48)</f>
        <v>8243.8388999999988</v>
      </c>
      <c r="K49" s="34"/>
    </row>
    <row r="50" spans="2:11" ht="16.5" thickTop="1" thickBot="1" x14ac:dyDescent="0.3">
      <c r="B50" s="71"/>
      <c r="C50" s="72"/>
      <c r="D50" s="78"/>
      <c r="E50" s="72"/>
      <c r="F50" s="79"/>
      <c r="G50" s="80"/>
      <c r="H50" s="72"/>
      <c r="I50" s="81"/>
    </row>
    <row r="53" spans="2:11" x14ac:dyDescent="0.25">
      <c r="I53" s="3"/>
    </row>
  </sheetData>
  <mergeCells count="4">
    <mergeCell ref="B4:B5"/>
    <mergeCell ref="C4:C5"/>
    <mergeCell ref="D4:F4"/>
    <mergeCell ref="G4:I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65946-73ED-42C3-8A5C-9F55D01060A8}">
  <sheetPr>
    <tabColor theme="8" tint="0.39997558519241921"/>
  </sheetPr>
  <dimension ref="B2:I50"/>
  <sheetViews>
    <sheetView topLeftCell="A26" workbookViewId="0">
      <selection activeCell="C43" sqref="C43"/>
    </sheetView>
  </sheetViews>
  <sheetFormatPr baseColWidth="10" defaultRowHeight="15" x14ac:dyDescent="0.25"/>
  <cols>
    <col min="1" max="1" width="4.5703125" customWidth="1"/>
    <col min="2" max="2" width="11.85546875" customWidth="1"/>
    <col min="3" max="3" width="43.5703125" customWidth="1"/>
    <col min="4" max="4" width="14.140625" bestFit="1" customWidth="1"/>
    <col min="6" max="6" width="13.42578125" customWidth="1"/>
    <col min="9" max="9" width="13.85546875" customWidth="1"/>
  </cols>
  <sheetData>
    <row r="2" spans="2:9" ht="15.75" x14ac:dyDescent="0.25">
      <c r="C2" s="21" t="s">
        <v>43</v>
      </c>
    </row>
    <row r="3" spans="2:9" ht="15.75" thickBot="1" x14ac:dyDescent="0.3"/>
    <row r="4" spans="2:9" ht="15.75" thickBot="1" x14ac:dyDescent="0.3">
      <c r="B4" s="125" t="s">
        <v>8</v>
      </c>
      <c r="C4" s="125" t="s">
        <v>7</v>
      </c>
      <c r="D4" s="122" t="s">
        <v>1</v>
      </c>
      <c r="E4" s="123"/>
      <c r="F4" s="124"/>
      <c r="G4" s="122" t="s">
        <v>5</v>
      </c>
      <c r="H4" s="123"/>
      <c r="I4" s="124"/>
    </row>
    <row r="5" spans="2:9" ht="15.75" thickBot="1" x14ac:dyDescent="0.3">
      <c r="B5" s="126"/>
      <c r="C5" s="126"/>
      <c r="D5" s="13" t="s">
        <v>2</v>
      </c>
      <c r="E5" s="13" t="s">
        <v>3</v>
      </c>
      <c r="F5" s="13" t="s">
        <v>4</v>
      </c>
      <c r="G5" s="13" t="s">
        <v>2</v>
      </c>
      <c r="H5" s="13" t="s">
        <v>3</v>
      </c>
      <c r="I5" s="13" t="s">
        <v>4</v>
      </c>
    </row>
    <row r="6" spans="2:9" ht="15.75" thickBot="1" x14ac:dyDescent="0.3"/>
    <row r="7" spans="2:9" ht="19.5" customHeight="1" x14ac:dyDescent="0.25">
      <c r="B7" s="14"/>
      <c r="C7" s="15" t="s">
        <v>9</v>
      </c>
      <c r="D7" s="16">
        <v>0</v>
      </c>
      <c r="E7" s="15">
        <v>133.92857000000001</v>
      </c>
      <c r="F7" s="18">
        <f>+D7*E7</f>
        <v>0</v>
      </c>
      <c r="G7" s="19"/>
      <c r="H7" s="15"/>
      <c r="I7" s="20"/>
    </row>
    <row r="8" spans="2:9" ht="20.100000000000001" customHeight="1" x14ac:dyDescent="0.25">
      <c r="B8" s="87">
        <v>45688</v>
      </c>
      <c r="C8" s="5" t="s">
        <v>24</v>
      </c>
      <c r="D8" s="6"/>
      <c r="E8" s="5"/>
      <c r="F8" s="8"/>
      <c r="G8" s="9">
        <v>0</v>
      </c>
      <c r="H8" s="5">
        <v>133.92857000000001</v>
      </c>
      <c r="I8" s="10">
        <f>+G8*H8</f>
        <v>0</v>
      </c>
    </row>
    <row r="9" spans="2:9" ht="20.100000000000001" customHeight="1" x14ac:dyDescent="0.25">
      <c r="B9" s="87"/>
      <c r="C9" s="23" t="s">
        <v>10</v>
      </c>
      <c r="D9" s="6"/>
      <c r="E9" s="5"/>
      <c r="F9" s="8"/>
      <c r="G9" s="9"/>
      <c r="H9" s="5"/>
      <c r="I9" s="11"/>
    </row>
    <row r="10" spans="2:9" ht="20.100000000000001" customHeight="1" x14ac:dyDescent="0.25">
      <c r="B10" s="43"/>
      <c r="C10" s="49"/>
      <c r="D10" s="45"/>
      <c r="E10" s="44"/>
      <c r="F10" s="46"/>
      <c r="G10" s="47"/>
      <c r="H10" s="44"/>
      <c r="I10" s="56"/>
    </row>
    <row r="11" spans="2:9" ht="20.100000000000001" customHeight="1" x14ac:dyDescent="0.25">
      <c r="B11" s="85">
        <v>45716</v>
      </c>
      <c r="C11" s="44" t="s">
        <v>47</v>
      </c>
      <c r="D11" s="45"/>
      <c r="E11" s="44"/>
      <c r="F11" s="46"/>
      <c r="G11" s="47">
        <v>0</v>
      </c>
      <c r="H11" s="49">
        <v>133.92857000000001</v>
      </c>
      <c r="I11" s="56">
        <f>+G11*H11</f>
        <v>0</v>
      </c>
    </row>
    <row r="12" spans="2:9" ht="20.100000000000001" customHeight="1" x14ac:dyDescent="0.25">
      <c r="B12" s="85"/>
      <c r="C12" s="112" t="s">
        <v>10</v>
      </c>
      <c r="D12" s="45"/>
      <c r="E12" s="44"/>
      <c r="F12" s="46"/>
      <c r="G12" s="47"/>
      <c r="H12" s="44"/>
      <c r="I12" s="48"/>
    </row>
    <row r="13" spans="2:9" ht="20.100000000000001" customHeight="1" x14ac:dyDescent="0.25">
      <c r="B13" s="43"/>
      <c r="C13" s="49"/>
      <c r="D13" s="53"/>
      <c r="E13" s="49"/>
      <c r="F13" s="54"/>
      <c r="G13" s="55"/>
      <c r="H13" s="49"/>
      <c r="I13" s="56"/>
    </row>
    <row r="14" spans="2:9" ht="20.100000000000001" customHeight="1" x14ac:dyDescent="0.25">
      <c r="B14" s="115">
        <v>45747</v>
      </c>
      <c r="C14" s="5" t="s">
        <v>50</v>
      </c>
      <c r="D14" s="6"/>
      <c r="E14" s="5"/>
      <c r="F14" s="8"/>
      <c r="G14" s="9">
        <v>0</v>
      </c>
      <c r="H14" s="5">
        <v>133.92857000000001</v>
      </c>
      <c r="I14" s="10">
        <f>+G14*H14</f>
        <v>0</v>
      </c>
    </row>
    <row r="15" spans="2:9" ht="20.100000000000001" customHeight="1" x14ac:dyDescent="0.25">
      <c r="B15" s="87"/>
      <c r="C15" s="23" t="s">
        <v>10</v>
      </c>
      <c r="D15" s="6"/>
      <c r="E15" s="5"/>
      <c r="F15" s="8"/>
      <c r="G15" s="9"/>
      <c r="H15" s="5"/>
      <c r="I15" s="11"/>
    </row>
    <row r="16" spans="2:9" ht="20.100000000000001" customHeight="1" x14ac:dyDescent="0.25">
      <c r="B16" s="52"/>
      <c r="C16" s="51"/>
      <c r="D16" s="45"/>
      <c r="E16" s="44"/>
      <c r="F16" s="46"/>
      <c r="G16" s="47"/>
      <c r="H16" s="44"/>
      <c r="I16" s="56"/>
    </row>
    <row r="17" spans="2:9" ht="20.100000000000001" customHeight="1" x14ac:dyDescent="0.25">
      <c r="B17" s="85">
        <v>45777</v>
      </c>
      <c r="C17" s="44" t="s">
        <v>55</v>
      </c>
      <c r="D17" s="45"/>
      <c r="E17" s="44"/>
      <c r="F17" s="46"/>
      <c r="G17" s="47">
        <v>0</v>
      </c>
      <c r="H17" s="49">
        <v>133.92857000000001</v>
      </c>
      <c r="I17" s="56">
        <f>+G17*H17</f>
        <v>0</v>
      </c>
    </row>
    <row r="18" spans="2:9" ht="20.100000000000001" customHeight="1" x14ac:dyDescent="0.25">
      <c r="B18" s="85"/>
      <c r="C18" s="112" t="s">
        <v>10</v>
      </c>
      <c r="D18" s="45"/>
      <c r="E18" s="44"/>
      <c r="F18" s="46"/>
      <c r="G18" s="47"/>
      <c r="H18" s="44"/>
      <c r="I18" s="48"/>
    </row>
    <row r="19" spans="2:9" ht="20.100000000000001" customHeight="1" x14ac:dyDescent="0.25">
      <c r="B19" s="43"/>
      <c r="C19" s="49"/>
      <c r="D19" s="53"/>
      <c r="E19" s="49"/>
      <c r="F19" s="46"/>
      <c r="G19" s="47"/>
      <c r="H19" s="44"/>
      <c r="I19" s="56"/>
    </row>
    <row r="20" spans="2:9" ht="20.100000000000001" customHeight="1" x14ac:dyDescent="0.25">
      <c r="B20" s="115">
        <v>45808</v>
      </c>
      <c r="C20" s="5" t="s">
        <v>60</v>
      </c>
      <c r="D20" s="6"/>
      <c r="E20" s="5"/>
      <c r="F20" s="8"/>
      <c r="G20" s="9">
        <v>0</v>
      </c>
      <c r="H20" s="5">
        <v>133.92857000000001</v>
      </c>
      <c r="I20" s="10">
        <f>+G20*H20</f>
        <v>0</v>
      </c>
    </row>
    <row r="21" spans="2:9" ht="20.100000000000001" customHeight="1" x14ac:dyDescent="0.25">
      <c r="B21" s="87"/>
      <c r="C21" s="23" t="s">
        <v>10</v>
      </c>
      <c r="D21" s="6"/>
      <c r="E21" s="5"/>
      <c r="F21" s="8"/>
      <c r="G21" s="9"/>
      <c r="H21" s="5"/>
      <c r="I21" s="11"/>
    </row>
    <row r="22" spans="2:9" ht="20.100000000000001" customHeight="1" x14ac:dyDescent="0.25">
      <c r="B22" s="52"/>
      <c r="C22" s="51"/>
      <c r="D22" s="45"/>
      <c r="E22" s="44"/>
      <c r="F22" s="46"/>
      <c r="G22" s="47"/>
      <c r="H22" s="44"/>
      <c r="I22" s="56"/>
    </row>
    <row r="23" spans="2:9" ht="20.100000000000001" customHeight="1" x14ac:dyDescent="0.25">
      <c r="B23" s="85">
        <v>45838</v>
      </c>
      <c r="C23" s="44" t="s">
        <v>63</v>
      </c>
      <c r="D23" s="45"/>
      <c r="E23" s="44"/>
      <c r="F23" s="46"/>
      <c r="G23" s="47">
        <v>0</v>
      </c>
      <c r="H23" s="49">
        <v>133.92857000000001</v>
      </c>
      <c r="I23" s="56">
        <f>+G23*H23</f>
        <v>0</v>
      </c>
    </row>
    <row r="24" spans="2:9" ht="20.100000000000001" customHeight="1" x14ac:dyDescent="0.25">
      <c r="B24" s="85"/>
      <c r="C24" s="112" t="s">
        <v>10</v>
      </c>
      <c r="D24" s="45"/>
      <c r="E24" s="44"/>
      <c r="F24" s="46"/>
      <c r="G24" s="47"/>
      <c r="H24" s="44"/>
      <c r="I24" s="48"/>
    </row>
    <row r="25" spans="2:9" ht="20.100000000000001" customHeight="1" x14ac:dyDescent="0.25">
      <c r="B25" s="43"/>
      <c r="C25" s="49"/>
      <c r="D25" s="53"/>
      <c r="E25" s="49"/>
      <c r="F25" s="54"/>
      <c r="G25" s="55"/>
      <c r="H25" s="49"/>
      <c r="I25" s="60"/>
    </row>
    <row r="26" spans="2:9" ht="20.100000000000001" customHeight="1" x14ac:dyDescent="0.25">
      <c r="B26" s="115">
        <v>45869</v>
      </c>
      <c r="C26" s="5" t="s">
        <v>64</v>
      </c>
      <c r="D26" s="6"/>
      <c r="E26" s="5"/>
      <c r="F26" s="8"/>
      <c r="G26" s="9">
        <v>0</v>
      </c>
      <c r="H26" s="5">
        <v>133.92857000000001</v>
      </c>
      <c r="I26" s="10">
        <f>+G26*H26</f>
        <v>0</v>
      </c>
    </row>
    <row r="27" spans="2:9" ht="20.100000000000001" customHeight="1" x14ac:dyDescent="0.25">
      <c r="B27" s="87"/>
      <c r="C27" s="23" t="s">
        <v>10</v>
      </c>
      <c r="D27" s="6"/>
      <c r="E27" s="5"/>
      <c r="F27" s="8"/>
      <c r="G27" s="9"/>
      <c r="H27" s="5"/>
      <c r="I27" s="11"/>
    </row>
    <row r="28" spans="2:9" ht="20.100000000000001" customHeight="1" x14ac:dyDescent="0.25">
      <c r="B28" s="43"/>
      <c r="C28" s="51"/>
      <c r="D28" s="45"/>
      <c r="E28" s="44"/>
      <c r="F28" s="46"/>
      <c r="G28" s="47"/>
      <c r="H28" s="44"/>
      <c r="I28" s="56"/>
    </row>
    <row r="29" spans="2:9" ht="20.100000000000001" customHeight="1" x14ac:dyDescent="0.25">
      <c r="B29" s="92">
        <v>45900</v>
      </c>
      <c r="C29" s="44" t="s">
        <v>67</v>
      </c>
      <c r="D29" s="45"/>
      <c r="E29" s="44"/>
      <c r="F29" s="46"/>
      <c r="G29" s="47">
        <v>0</v>
      </c>
      <c r="H29" s="44">
        <v>133.92857000000001</v>
      </c>
      <c r="I29" s="56">
        <f>+G29*H29</f>
        <v>0</v>
      </c>
    </row>
    <row r="30" spans="2:9" ht="20.100000000000001" customHeight="1" x14ac:dyDescent="0.25">
      <c r="B30" s="85"/>
      <c r="C30" s="112" t="s">
        <v>10</v>
      </c>
      <c r="D30" s="45"/>
      <c r="E30" s="44"/>
      <c r="F30" s="46"/>
      <c r="G30" s="47"/>
      <c r="H30" s="44"/>
      <c r="I30" s="48"/>
    </row>
    <row r="31" spans="2:9" ht="20.100000000000001" customHeight="1" x14ac:dyDescent="0.25">
      <c r="B31" s="43"/>
      <c r="C31" s="49"/>
      <c r="D31" s="53"/>
      <c r="E31" s="49"/>
      <c r="F31" s="54"/>
      <c r="G31" s="55"/>
      <c r="H31" s="49"/>
      <c r="I31" s="60"/>
    </row>
    <row r="32" spans="2:9" ht="20.100000000000001" customHeight="1" x14ac:dyDescent="0.25">
      <c r="B32" s="115">
        <v>45930</v>
      </c>
      <c r="C32" s="5" t="s">
        <v>73</v>
      </c>
      <c r="D32" s="6"/>
      <c r="E32" s="5"/>
      <c r="F32" s="8"/>
      <c r="G32" s="9">
        <v>0</v>
      </c>
      <c r="H32" s="5">
        <v>133.92857000000001</v>
      </c>
      <c r="I32" s="10">
        <f>+G32*H32</f>
        <v>0</v>
      </c>
    </row>
    <row r="33" spans="2:9" ht="20.100000000000001" customHeight="1" x14ac:dyDescent="0.25">
      <c r="B33" s="87"/>
      <c r="C33" s="23" t="s">
        <v>10</v>
      </c>
      <c r="D33" s="6"/>
      <c r="E33" s="5"/>
      <c r="F33" s="8"/>
      <c r="G33" s="9"/>
      <c r="H33" s="5"/>
      <c r="I33" s="11"/>
    </row>
    <row r="34" spans="2:9" ht="20.100000000000001" customHeight="1" x14ac:dyDescent="0.25">
      <c r="B34" s="43"/>
      <c r="C34" s="51"/>
      <c r="D34" s="45"/>
      <c r="E34" s="44"/>
      <c r="F34" s="46"/>
      <c r="G34" s="47"/>
      <c r="H34" s="44"/>
      <c r="I34" s="56"/>
    </row>
    <row r="35" spans="2:9" ht="20.100000000000001" customHeight="1" x14ac:dyDescent="0.25">
      <c r="B35" s="92">
        <v>45961</v>
      </c>
      <c r="C35" s="44" t="s">
        <v>74</v>
      </c>
      <c r="D35" s="45"/>
      <c r="E35" s="44"/>
      <c r="F35" s="46"/>
      <c r="G35" s="47">
        <v>0</v>
      </c>
      <c r="H35" s="44">
        <v>133.92857000000001</v>
      </c>
      <c r="I35" s="56">
        <f>+G35*H35</f>
        <v>0</v>
      </c>
    </row>
    <row r="36" spans="2:9" ht="20.100000000000001" customHeight="1" x14ac:dyDescent="0.25">
      <c r="B36" s="85"/>
      <c r="C36" s="112" t="s">
        <v>10</v>
      </c>
      <c r="D36" s="45"/>
      <c r="E36" s="44"/>
      <c r="F36" s="46"/>
      <c r="G36" s="47"/>
      <c r="H36" s="44"/>
      <c r="I36" s="48"/>
    </row>
    <row r="37" spans="2:9" ht="20.100000000000001" customHeight="1" x14ac:dyDescent="0.25">
      <c r="B37" s="43"/>
      <c r="C37" s="49"/>
      <c r="D37" s="53"/>
      <c r="E37" s="49"/>
      <c r="F37" s="54"/>
      <c r="G37" s="55"/>
      <c r="H37" s="49"/>
      <c r="I37" s="60"/>
    </row>
    <row r="38" spans="2:9" ht="20.100000000000001" customHeight="1" x14ac:dyDescent="0.25">
      <c r="B38" s="115">
        <v>45991</v>
      </c>
      <c r="C38" s="5" t="s">
        <v>77</v>
      </c>
      <c r="D38" s="6"/>
      <c r="E38" s="5"/>
      <c r="F38" s="8"/>
      <c r="G38" s="9">
        <v>0</v>
      </c>
      <c r="H38" s="5">
        <v>133.92857000000001</v>
      </c>
      <c r="I38" s="10">
        <f>+G38*H38</f>
        <v>0</v>
      </c>
    </row>
    <row r="39" spans="2:9" ht="20.100000000000001" customHeight="1" x14ac:dyDescent="0.25">
      <c r="B39" s="87"/>
      <c r="C39" s="23" t="s">
        <v>10</v>
      </c>
      <c r="D39" s="6"/>
      <c r="E39" s="5"/>
      <c r="F39" s="8"/>
      <c r="G39" s="9"/>
      <c r="H39" s="5"/>
      <c r="I39" s="11"/>
    </row>
    <row r="40" spans="2:9" ht="20.100000000000001" customHeight="1" x14ac:dyDescent="0.25">
      <c r="B40" s="43"/>
      <c r="C40" s="51"/>
      <c r="D40" s="45"/>
      <c r="E40" s="44"/>
      <c r="F40" s="46"/>
      <c r="G40" s="47"/>
      <c r="H40" s="44"/>
      <c r="I40" s="56"/>
    </row>
    <row r="41" spans="2:9" ht="20.100000000000001" customHeight="1" x14ac:dyDescent="0.25">
      <c r="B41" s="92">
        <v>46022</v>
      </c>
      <c r="C41" s="44" t="s">
        <v>81</v>
      </c>
      <c r="D41" s="45"/>
      <c r="E41" s="44"/>
      <c r="F41" s="46"/>
      <c r="G41" s="47">
        <v>0</v>
      </c>
      <c r="H41" s="44">
        <v>133.92857000000001</v>
      </c>
      <c r="I41" s="56">
        <f>+G41*H41</f>
        <v>0</v>
      </c>
    </row>
    <row r="42" spans="2:9" ht="20.100000000000001" customHeight="1" x14ac:dyDescent="0.25">
      <c r="B42" s="85"/>
      <c r="C42" s="112" t="s">
        <v>10</v>
      </c>
      <c r="D42" s="45"/>
      <c r="E42" s="44"/>
      <c r="F42" s="46"/>
      <c r="G42" s="47"/>
      <c r="H42" s="44"/>
      <c r="I42" s="48"/>
    </row>
    <row r="43" spans="2:9" ht="20.100000000000001" customHeight="1" x14ac:dyDescent="0.25">
      <c r="B43" s="52"/>
      <c r="C43" s="50"/>
      <c r="D43" s="45"/>
      <c r="E43" s="44"/>
      <c r="F43" s="46"/>
      <c r="G43" s="47"/>
      <c r="H43" s="44"/>
      <c r="I43" s="56"/>
    </row>
    <row r="44" spans="2:9" ht="20.100000000000001" customHeight="1" x14ac:dyDescent="0.25">
      <c r="B44" s="52"/>
      <c r="C44" s="50"/>
      <c r="D44" s="45"/>
      <c r="E44" s="44"/>
      <c r="F44" s="46"/>
      <c r="G44" s="47"/>
      <c r="H44" s="44"/>
      <c r="I44" s="56"/>
    </row>
    <row r="45" spans="2:9" ht="20.100000000000001" customHeight="1" x14ac:dyDescent="0.25">
      <c r="B45" s="52"/>
      <c r="C45" s="50"/>
      <c r="D45" s="45"/>
      <c r="E45" s="44"/>
      <c r="F45" s="46"/>
      <c r="G45" s="47"/>
      <c r="H45" s="44"/>
      <c r="I45" s="48"/>
    </row>
    <row r="46" spans="2:9" ht="19.5" customHeight="1" thickBot="1" x14ac:dyDescent="0.3">
      <c r="B46" s="52"/>
      <c r="C46" s="66" t="s">
        <v>6</v>
      </c>
      <c r="D46" s="67">
        <f>SUM(D7:D45)</f>
        <v>0</v>
      </c>
      <c r="E46" s="68"/>
      <c r="F46" s="69">
        <f>SUM(F7:F45)</f>
        <v>0</v>
      </c>
      <c r="G46" s="67">
        <f>SUM(G7:G45)</f>
        <v>0</v>
      </c>
      <c r="H46" s="68"/>
      <c r="I46" s="70">
        <f>SUM(I7:I45)</f>
        <v>0</v>
      </c>
    </row>
    <row r="47" spans="2:9" ht="16.5" thickTop="1" thickBot="1" x14ac:dyDescent="0.3">
      <c r="B47" s="71"/>
      <c r="C47" s="72"/>
      <c r="D47" s="78"/>
      <c r="E47" s="72"/>
      <c r="F47" s="79"/>
      <c r="G47" s="80"/>
      <c r="H47" s="72"/>
      <c r="I47" s="81"/>
    </row>
    <row r="50" spans="9:9" x14ac:dyDescent="0.25">
      <c r="I50" s="3"/>
    </row>
  </sheetData>
  <mergeCells count="4">
    <mergeCell ref="B4:B5"/>
    <mergeCell ref="C4:C5"/>
    <mergeCell ref="D4:F4"/>
    <mergeCell ref="G4:I4"/>
  </mergeCells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83F81-9166-45B9-8155-411578732EAA}">
  <sheetPr>
    <tabColor theme="7" tint="0.39997558519241921"/>
  </sheetPr>
  <dimension ref="B2:K59"/>
  <sheetViews>
    <sheetView topLeftCell="A38" workbookViewId="0">
      <selection activeCell="C53" sqref="C53"/>
    </sheetView>
  </sheetViews>
  <sheetFormatPr baseColWidth="10" defaultRowHeight="15" x14ac:dyDescent="0.25"/>
  <cols>
    <col min="1" max="1" width="4.5703125" customWidth="1"/>
    <col min="2" max="2" width="11.85546875" customWidth="1"/>
    <col min="3" max="3" width="43.5703125" customWidth="1"/>
    <col min="4" max="4" width="14.140625" bestFit="1" customWidth="1"/>
    <col min="6" max="6" width="13.42578125" customWidth="1"/>
    <col min="9" max="9" width="13.85546875" customWidth="1"/>
  </cols>
  <sheetData>
    <row r="2" spans="2:9" ht="15.75" x14ac:dyDescent="0.25">
      <c r="C2" s="21" t="s">
        <v>45</v>
      </c>
    </row>
    <row r="3" spans="2:9" ht="15.75" thickBot="1" x14ac:dyDescent="0.3"/>
    <row r="4" spans="2:9" ht="15.75" thickBot="1" x14ac:dyDescent="0.3">
      <c r="B4" s="125" t="s">
        <v>8</v>
      </c>
      <c r="C4" s="125" t="s">
        <v>7</v>
      </c>
      <c r="D4" s="122" t="s">
        <v>1</v>
      </c>
      <c r="E4" s="123"/>
      <c r="F4" s="124"/>
      <c r="G4" s="122" t="s">
        <v>5</v>
      </c>
      <c r="H4" s="123"/>
      <c r="I4" s="124"/>
    </row>
    <row r="5" spans="2:9" ht="15.75" thickBot="1" x14ac:dyDescent="0.3">
      <c r="B5" s="126"/>
      <c r="C5" s="126"/>
      <c r="D5" s="13" t="s">
        <v>2</v>
      </c>
      <c r="E5" s="13" t="s">
        <v>3</v>
      </c>
      <c r="F5" s="13" t="s">
        <v>4</v>
      </c>
      <c r="G5" s="13" t="s">
        <v>2</v>
      </c>
      <c r="H5" s="13" t="s">
        <v>3</v>
      </c>
      <c r="I5" s="13" t="s">
        <v>4</v>
      </c>
    </row>
    <row r="6" spans="2:9" ht="15.75" thickBot="1" x14ac:dyDescent="0.3"/>
    <row r="7" spans="2:9" ht="19.5" customHeight="1" x14ac:dyDescent="0.25">
      <c r="B7" s="14"/>
      <c r="C7" s="15" t="s">
        <v>9</v>
      </c>
      <c r="D7" s="16">
        <v>15</v>
      </c>
      <c r="E7" s="15">
        <v>107.14286</v>
      </c>
      <c r="F7" s="18">
        <f>+D7*E7</f>
        <v>1607.1429000000001</v>
      </c>
      <c r="G7" s="19"/>
      <c r="H7" s="15"/>
      <c r="I7" s="20"/>
    </row>
    <row r="8" spans="2:9" ht="20.100000000000001" customHeight="1" x14ac:dyDescent="0.25">
      <c r="B8" s="30">
        <v>45688</v>
      </c>
      <c r="C8" s="22" t="s">
        <v>24</v>
      </c>
      <c r="D8" s="6"/>
      <c r="E8" s="5"/>
      <c r="F8" s="8"/>
      <c r="G8" s="9">
        <v>15</v>
      </c>
      <c r="H8" s="5">
        <v>107.14286</v>
      </c>
      <c r="I8" s="10">
        <f>+G8*H8</f>
        <v>1607.1429000000001</v>
      </c>
    </row>
    <row r="9" spans="2:9" ht="20.100000000000001" customHeight="1" x14ac:dyDescent="0.25">
      <c r="B9" s="87"/>
      <c r="C9" s="23" t="s">
        <v>10</v>
      </c>
      <c r="D9" s="6"/>
      <c r="E9" s="5"/>
      <c r="F9" s="8"/>
      <c r="G9" s="9"/>
      <c r="H9" s="5"/>
      <c r="I9" s="11"/>
    </row>
    <row r="10" spans="2:9" ht="20.100000000000001" customHeight="1" x14ac:dyDescent="0.25">
      <c r="B10" s="43"/>
      <c r="C10" s="49"/>
      <c r="D10" s="53"/>
      <c r="E10" s="49"/>
      <c r="F10" s="54"/>
      <c r="G10" s="55"/>
      <c r="H10" s="49"/>
      <c r="I10" s="60"/>
    </row>
    <row r="11" spans="2:9" ht="20.100000000000001" customHeight="1" x14ac:dyDescent="0.25">
      <c r="B11" s="85">
        <v>45700</v>
      </c>
      <c r="C11" s="44" t="s">
        <v>49</v>
      </c>
      <c r="D11" s="45">
        <v>30</v>
      </c>
      <c r="E11" s="49">
        <v>107.14286</v>
      </c>
      <c r="F11" s="54">
        <f>+D11*E11</f>
        <v>3214.2858000000001</v>
      </c>
      <c r="G11" s="47"/>
      <c r="H11" s="49"/>
      <c r="I11" s="48"/>
    </row>
    <row r="12" spans="2:9" ht="20.100000000000001" customHeight="1" x14ac:dyDescent="0.25">
      <c r="B12" s="85">
        <v>45716</v>
      </c>
      <c r="C12" s="44" t="s">
        <v>47</v>
      </c>
      <c r="D12" s="45"/>
      <c r="E12" s="44"/>
      <c r="F12" s="46"/>
      <c r="G12" s="47">
        <v>13</v>
      </c>
      <c r="H12" s="49">
        <v>107.14286</v>
      </c>
      <c r="I12" s="56">
        <f>+G12*H12</f>
        <v>1392.85718</v>
      </c>
    </row>
    <row r="13" spans="2:9" ht="20.100000000000001" customHeight="1" x14ac:dyDescent="0.25">
      <c r="B13" s="85"/>
      <c r="C13" s="112" t="s">
        <v>10</v>
      </c>
      <c r="D13" s="45"/>
      <c r="E13" s="44"/>
      <c r="F13" s="46"/>
      <c r="G13" s="47"/>
      <c r="H13" s="44"/>
      <c r="I13" s="48"/>
    </row>
    <row r="14" spans="2:9" ht="20.100000000000001" customHeight="1" x14ac:dyDescent="0.25">
      <c r="B14" s="85"/>
      <c r="C14" s="112"/>
      <c r="D14" s="53"/>
      <c r="E14" s="49"/>
      <c r="F14" s="54"/>
      <c r="G14" s="55"/>
      <c r="H14" s="49"/>
      <c r="I14" s="93"/>
    </row>
    <row r="15" spans="2:9" ht="20.100000000000001" customHeight="1" x14ac:dyDescent="0.25">
      <c r="B15" s="115">
        <v>45747</v>
      </c>
      <c r="C15" s="5" t="s">
        <v>52</v>
      </c>
      <c r="D15" s="6">
        <v>40</v>
      </c>
      <c r="E15" s="5">
        <v>107.14286</v>
      </c>
      <c r="F15" s="8">
        <f>+D15*E15</f>
        <v>4285.7143999999998</v>
      </c>
      <c r="G15" s="9"/>
      <c r="H15" s="5"/>
      <c r="I15" s="10"/>
    </row>
    <row r="16" spans="2:9" ht="20.100000000000001" customHeight="1" x14ac:dyDescent="0.25">
      <c r="B16" s="87">
        <v>45747</v>
      </c>
      <c r="C16" s="5" t="s">
        <v>50</v>
      </c>
      <c r="D16" s="6"/>
      <c r="E16" s="5"/>
      <c r="F16" s="8"/>
      <c r="G16" s="9">
        <v>22</v>
      </c>
      <c r="H16" s="5">
        <v>107.14286</v>
      </c>
      <c r="I16" s="10">
        <f>+G16*H16</f>
        <v>2357.1429199999998</v>
      </c>
    </row>
    <row r="17" spans="2:9" ht="20.100000000000001" customHeight="1" x14ac:dyDescent="0.25">
      <c r="B17" s="87"/>
      <c r="C17" s="23" t="s">
        <v>10</v>
      </c>
      <c r="D17" s="6"/>
      <c r="E17" s="5"/>
      <c r="F17" s="8"/>
      <c r="G17" s="9"/>
      <c r="H17" s="5"/>
      <c r="I17" s="11"/>
    </row>
    <row r="18" spans="2:9" ht="20.100000000000001" customHeight="1" x14ac:dyDescent="0.25">
      <c r="B18" s="101"/>
      <c r="C18" s="113"/>
      <c r="D18" s="45"/>
      <c r="E18" s="44"/>
      <c r="F18" s="46"/>
      <c r="G18" s="47"/>
      <c r="H18" s="44"/>
      <c r="I18" s="48"/>
    </row>
    <row r="19" spans="2:9" ht="20.100000000000001" customHeight="1" x14ac:dyDescent="0.25">
      <c r="B19" s="85">
        <v>45777</v>
      </c>
      <c r="C19" s="44" t="s">
        <v>55</v>
      </c>
      <c r="D19" s="45"/>
      <c r="E19" s="44"/>
      <c r="F19" s="46"/>
      <c r="G19" s="47">
        <v>17</v>
      </c>
      <c r="H19" s="49">
        <v>107.14286</v>
      </c>
      <c r="I19" s="56">
        <f>+G19*H19</f>
        <v>1821.4286199999999</v>
      </c>
    </row>
    <row r="20" spans="2:9" ht="20.100000000000001" customHeight="1" x14ac:dyDescent="0.25">
      <c r="B20" s="85"/>
      <c r="C20" s="112" t="s">
        <v>10</v>
      </c>
      <c r="D20" s="45"/>
      <c r="E20" s="44"/>
      <c r="F20" s="46"/>
      <c r="G20" s="47"/>
      <c r="H20" s="44"/>
      <c r="I20" s="48"/>
    </row>
    <row r="21" spans="2:9" ht="20.100000000000001" customHeight="1" x14ac:dyDescent="0.25">
      <c r="B21" s="85"/>
      <c r="C21" s="112"/>
      <c r="D21" s="53"/>
      <c r="E21" s="49"/>
      <c r="F21" s="54"/>
      <c r="G21" s="55"/>
      <c r="H21" s="49"/>
      <c r="I21" s="93"/>
    </row>
    <row r="22" spans="2:9" ht="20.100000000000001" customHeight="1" x14ac:dyDescent="0.25">
      <c r="B22" s="115">
        <v>45797</v>
      </c>
      <c r="C22" s="5" t="s">
        <v>57</v>
      </c>
      <c r="D22" s="6">
        <v>40</v>
      </c>
      <c r="E22" s="5">
        <v>107.14286</v>
      </c>
      <c r="F22" s="8">
        <f>+D22*E22</f>
        <v>4285.7143999999998</v>
      </c>
      <c r="G22" s="9"/>
      <c r="H22" s="5"/>
      <c r="I22" s="10"/>
    </row>
    <row r="23" spans="2:9" ht="20.100000000000001" customHeight="1" x14ac:dyDescent="0.25">
      <c r="B23" s="87">
        <v>45808</v>
      </c>
      <c r="C23" s="5" t="s">
        <v>60</v>
      </c>
      <c r="D23" s="6"/>
      <c r="E23" s="5"/>
      <c r="F23" s="8"/>
      <c r="G23" s="9">
        <v>29</v>
      </c>
      <c r="H23" s="5">
        <v>107.14286</v>
      </c>
      <c r="I23" s="10">
        <f>+G23*H23</f>
        <v>3107.1429400000002</v>
      </c>
    </row>
    <row r="24" spans="2:9" ht="20.100000000000001" customHeight="1" x14ac:dyDescent="0.25">
      <c r="B24" s="87"/>
      <c r="C24" s="23" t="s">
        <v>10</v>
      </c>
      <c r="D24" s="6"/>
      <c r="E24" s="5"/>
      <c r="F24" s="8"/>
      <c r="G24" s="9"/>
      <c r="H24" s="5"/>
      <c r="I24" s="11"/>
    </row>
    <row r="25" spans="2:9" ht="20.100000000000001" customHeight="1" x14ac:dyDescent="0.25">
      <c r="B25" s="85"/>
      <c r="C25" s="113"/>
      <c r="D25" s="45"/>
      <c r="E25" s="44"/>
      <c r="F25" s="46"/>
      <c r="G25" s="47"/>
      <c r="H25" s="44"/>
      <c r="I25" s="48"/>
    </row>
    <row r="26" spans="2:9" ht="20.100000000000001" customHeight="1" x14ac:dyDescent="0.25">
      <c r="B26" s="92">
        <v>45832</v>
      </c>
      <c r="C26" s="44" t="s">
        <v>62</v>
      </c>
      <c r="D26" s="45">
        <v>30</v>
      </c>
      <c r="E26" s="44">
        <v>107.14286</v>
      </c>
      <c r="F26" s="46">
        <f>+D26*E26</f>
        <v>3214.2858000000001</v>
      </c>
      <c r="G26" s="47"/>
      <c r="H26" s="44"/>
      <c r="I26" s="56"/>
    </row>
    <row r="27" spans="2:9" ht="20.100000000000001" customHeight="1" x14ac:dyDescent="0.25">
      <c r="B27" s="85">
        <v>45838</v>
      </c>
      <c r="C27" s="44" t="s">
        <v>63</v>
      </c>
      <c r="D27" s="45"/>
      <c r="E27" s="44"/>
      <c r="F27" s="46"/>
      <c r="G27" s="47">
        <v>32</v>
      </c>
      <c r="H27" s="44">
        <v>107.14286</v>
      </c>
      <c r="I27" s="56">
        <f>+G27*H27</f>
        <v>3428.57152</v>
      </c>
    </row>
    <row r="28" spans="2:9" ht="20.100000000000001" customHeight="1" x14ac:dyDescent="0.25">
      <c r="B28" s="85"/>
      <c r="C28" s="109" t="s">
        <v>10</v>
      </c>
      <c r="D28" s="45"/>
      <c r="E28" s="44"/>
      <c r="F28" s="46"/>
      <c r="G28" s="47"/>
      <c r="H28" s="44"/>
      <c r="I28" s="48"/>
    </row>
    <row r="29" spans="2:9" ht="20.100000000000001" customHeight="1" x14ac:dyDescent="0.25">
      <c r="B29" s="85"/>
      <c r="C29" s="112"/>
      <c r="D29" s="53"/>
      <c r="E29" s="49"/>
      <c r="F29" s="54"/>
      <c r="G29" s="55"/>
      <c r="H29" s="49"/>
      <c r="I29" s="93"/>
    </row>
    <row r="30" spans="2:9" ht="20.100000000000001" customHeight="1" x14ac:dyDescent="0.25">
      <c r="B30" s="115">
        <v>45869</v>
      </c>
      <c r="C30" s="5" t="s">
        <v>64</v>
      </c>
      <c r="D30" s="6"/>
      <c r="E30" s="5"/>
      <c r="F30" s="8"/>
      <c r="G30" s="9">
        <v>22</v>
      </c>
      <c r="H30" s="5">
        <v>107.14286</v>
      </c>
      <c r="I30" s="10">
        <f>+G30*H30</f>
        <v>2357.1429199999998</v>
      </c>
    </row>
    <row r="31" spans="2:9" ht="20.100000000000001" customHeight="1" x14ac:dyDescent="0.25">
      <c r="B31" s="87"/>
      <c r="C31" s="23" t="s">
        <v>10</v>
      </c>
      <c r="D31" s="6"/>
      <c r="E31" s="5"/>
      <c r="F31" s="8"/>
      <c r="G31" s="9"/>
      <c r="H31" s="5"/>
      <c r="I31" s="11"/>
    </row>
    <row r="32" spans="2:9" ht="20.100000000000001" customHeight="1" x14ac:dyDescent="0.25">
      <c r="B32" s="85"/>
      <c r="C32" s="113"/>
      <c r="D32" s="45"/>
      <c r="E32" s="44"/>
      <c r="F32" s="46"/>
      <c r="G32" s="47"/>
      <c r="H32" s="44"/>
      <c r="I32" s="48"/>
    </row>
    <row r="33" spans="2:9" ht="20.100000000000001" customHeight="1" x14ac:dyDescent="0.25">
      <c r="B33" s="92">
        <v>45874</v>
      </c>
      <c r="C33" s="44" t="s">
        <v>70</v>
      </c>
      <c r="D33" s="45">
        <v>30</v>
      </c>
      <c r="E33" s="44">
        <v>107.14286</v>
      </c>
      <c r="F33" s="46">
        <f>+D33*E33</f>
        <v>3214.2858000000001</v>
      </c>
      <c r="G33" s="47"/>
      <c r="H33" s="44"/>
      <c r="I33" s="56"/>
    </row>
    <row r="34" spans="2:9" ht="20.100000000000001" customHeight="1" x14ac:dyDescent="0.25">
      <c r="B34" s="92">
        <v>45898</v>
      </c>
      <c r="C34" s="44" t="s">
        <v>68</v>
      </c>
      <c r="D34" s="45">
        <v>30</v>
      </c>
      <c r="E34" s="44">
        <v>107.14286</v>
      </c>
      <c r="F34" s="46">
        <f>+D34*E34</f>
        <v>3214.2858000000001</v>
      </c>
      <c r="G34" s="47"/>
      <c r="H34" s="44"/>
      <c r="I34" s="56"/>
    </row>
    <row r="35" spans="2:9" ht="20.100000000000001" customHeight="1" x14ac:dyDescent="0.25">
      <c r="B35" s="85">
        <v>45900</v>
      </c>
      <c r="C35" s="44" t="s">
        <v>67</v>
      </c>
      <c r="D35" s="45"/>
      <c r="E35" s="44"/>
      <c r="F35" s="46"/>
      <c r="G35" s="47">
        <v>32</v>
      </c>
      <c r="H35" s="44">
        <v>107.14286</v>
      </c>
      <c r="I35" s="56">
        <f>+G35*H35</f>
        <v>3428.57152</v>
      </c>
    </row>
    <row r="36" spans="2:9" ht="20.100000000000001" customHeight="1" x14ac:dyDescent="0.25">
      <c r="B36" s="85"/>
      <c r="C36" s="109" t="s">
        <v>10</v>
      </c>
      <c r="D36" s="45"/>
      <c r="E36" s="44"/>
      <c r="F36" s="46"/>
      <c r="G36" s="47"/>
      <c r="H36" s="44"/>
      <c r="I36" s="48"/>
    </row>
    <row r="37" spans="2:9" ht="20.100000000000001" customHeight="1" x14ac:dyDescent="0.25">
      <c r="B37" s="85"/>
      <c r="C37" s="112"/>
      <c r="D37" s="53"/>
      <c r="E37" s="49"/>
      <c r="F37" s="54"/>
      <c r="G37" s="55"/>
      <c r="H37" s="49"/>
      <c r="I37" s="93"/>
    </row>
    <row r="38" spans="2:9" ht="20.100000000000001" customHeight="1" x14ac:dyDescent="0.25">
      <c r="B38" s="115">
        <v>45930</v>
      </c>
      <c r="C38" s="5" t="s">
        <v>71</v>
      </c>
      <c r="D38" s="6">
        <v>30</v>
      </c>
      <c r="E38" s="5">
        <v>107.14286</v>
      </c>
      <c r="F38" s="8">
        <f>+D38*E38</f>
        <v>3214.2858000000001</v>
      </c>
      <c r="G38" s="9"/>
      <c r="H38" s="5"/>
      <c r="I38" s="10"/>
    </row>
    <row r="39" spans="2:9" ht="20.100000000000001" customHeight="1" x14ac:dyDescent="0.25">
      <c r="B39" s="87">
        <v>45930</v>
      </c>
      <c r="C39" s="5" t="s">
        <v>72</v>
      </c>
      <c r="D39" s="6"/>
      <c r="E39" s="5"/>
      <c r="F39" s="8"/>
      <c r="G39" s="9">
        <v>34</v>
      </c>
      <c r="H39" s="5">
        <v>107.14286</v>
      </c>
      <c r="I39" s="10">
        <f>+G39*H39</f>
        <v>3642.8572399999998</v>
      </c>
    </row>
    <row r="40" spans="2:9" ht="20.100000000000001" customHeight="1" x14ac:dyDescent="0.25">
      <c r="B40" s="87"/>
      <c r="C40" s="23" t="s">
        <v>10</v>
      </c>
      <c r="D40" s="6"/>
      <c r="E40" s="5"/>
      <c r="F40" s="8"/>
      <c r="G40" s="9"/>
      <c r="H40" s="5"/>
      <c r="I40" s="11"/>
    </row>
    <row r="41" spans="2:9" ht="20.100000000000001" customHeight="1" x14ac:dyDescent="0.25">
      <c r="B41" s="85"/>
      <c r="C41" s="113"/>
      <c r="D41" s="45"/>
      <c r="E41" s="44"/>
      <c r="F41" s="46"/>
      <c r="G41" s="47"/>
      <c r="H41" s="44"/>
      <c r="I41" s="48"/>
    </row>
    <row r="42" spans="2:9" ht="20.100000000000001" customHeight="1" x14ac:dyDescent="0.25">
      <c r="B42" s="92">
        <v>45961</v>
      </c>
      <c r="C42" s="44" t="s">
        <v>74</v>
      </c>
      <c r="D42" s="45"/>
      <c r="E42" s="44"/>
      <c r="F42" s="46"/>
      <c r="G42" s="47">
        <v>19</v>
      </c>
      <c r="H42" s="44">
        <v>107.14286</v>
      </c>
      <c r="I42" s="56">
        <f>+G42*H42</f>
        <v>2035.71434</v>
      </c>
    </row>
    <row r="43" spans="2:9" ht="20.100000000000001" customHeight="1" x14ac:dyDescent="0.25">
      <c r="B43" s="85"/>
      <c r="C43" s="109" t="s">
        <v>10</v>
      </c>
      <c r="D43" s="45"/>
      <c r="E43" s="44"/>
      <c r="F43" s="46"/>
      <c r="G43" s="47"/>
      <c r="H43" s="44"/>
      <c r="I43" s="48"/>
    </row>
    <row r="44" spans="2:9" ht="20.100000000000001" customHeight="1" x14ac:dyDescent="0.25">
      <c r="B44" s="85"/>
      <c r="C44" s="112"/>
      <c r="D44" s="53"/>
      <c r="E44" s="49"/>
      <c r="F44" s="54"/>
      <c r="G44" s="55"/>
      <c r="H44" s="49"/>
      <c r="I44" s="93"/>
    </row>
    <row r="45" spans="2:9" ht="20.100000000000001" customHeight="1" x14ac:dyDescent="0.25">
      <c r="B45" s="115">
        <v>45966</v>
      </c>
      <c r="C45" s="5" t="s">
        <v>78</v>
      </c>
      <c r="D45" s="6">
        <v>40</v>
      </c>
      <c r="E45" s="5">
        <v>107.14286</v>
      </c>
      <c r="F45" s="8">
        <f>+D45*E45</f>
        <v>4285.7143999999998</v>
      </c>
      <c r="G45" s="9"/>
      <c r="H45" s="5"/>
      <c r="I45" s="10"/>
    </row>
    <row r="46" spans="2:9" ht="20.100000000000001" customHeight="1" x14ac:dyDescent="0.25">
      <c r="B46" s="87">
        <v>45930</v>
      </c>
      <c r="C46" s="5" t="s">
        <v>79</v>
      </c>
      <c r="D46" s="6"/>
      <c r="E46" s="5"/>
      <c r="F46" s="8"/>
      <c r="G46" s="9">
        <v>40</v>
      </c>
      <c r="H46" s="5">
        <v>107.14286</v>
      </c>
      <c r="I46" s="10">
        <f>+G46*H46</f>
        <v>4285.7143999999998</v>
      </c>
    </row>
    <row r="47" spans="2:9" ht="20.100000000000001" customHeight="1" x14ac:dyDescent="0.25">
      <c r="B47" s="87"/>
      <c r="C47" s="23" t="s">
        <v>10</v>
      </c>
      <c r="D47" s="6"/>
      <c r="E47" s="5"/>
      <c r="F47" s="8"/>
      <c r="G47" s="9"/>
      <c r="H47" s="5"/>
      <c r="I47" s="11"/>
    </row>
    <row r="48" spans="2:9" ht="20.100000000000001" customHeight="1" x14ac:dyDescent="0.25">
      <c r="B48" s="85"/>
      <c r="C48" s="113"/>
      <c r="D48" s="45"/>
      <c r="E48" s="44"/>
      <c r="F48" s="46"/>
      <c r="G48" s="47"/>
      <c r="H48" s="44"/>
      <c r="I48" s="48"/>
    </row>
    <row r="49" spans="2:11" ht="20.100000000000001" customHeight="1" x14ac:dyDescent="0.25">
      <c r="B49" s="92">
        <v>46000</v>
      </c>
      <c r="C49" s="44" t="s">
        <v>82</v>
      </c>
      <c r="D49" s="45">
        <v>30</v>
      </c>
      <c r="E49" s="44">
        <v>107.14286</v>
      </c>
      <c r="F49" s="46">
        <f>+D49*E49</f>
        <v>3214.2858000000001</v>
      </c>
      <c r="G49" s="47"/>
      <c r="H49" s="44"/>
      <c r="I49" s="56"/>
    </row>
    <row r="50" spans="2:11" ht="20.100000000000001" customHeight="1" x14ac:dyDescent="0.25">
      <c r="B50" s="85">
        <v>46022</v>
      </c>
      <c r="C50" s="44" t="s">
        <v>83</v>
      </c>
      <c r="D50" s="45"/>
      <c r="E50" s="44"/>
      <c r="F50" s="46"/>
      <c r="G50" s="47">
        <v>23</v>
      </c>
      <c r="H50" s="44">
        <v>107.14286</v>
      </c>
      <c r="I50" s="56">
        <f>+G50*H50</f>
        <v>2464.2857800000002</v>
      </c>
    </row>
    <row r="51" spans="2:11" ht="20.100000000000001" customHeight="1" x14ac:dyDescent="0.25">
      <c r="B51" s="85"/>
      <c r="C51" s="109" t="s">
        <v>10</v>
      </c>
      <c r="D51" s="45"/>
      <c r="E51" s="44"/>
      <c r="F51" s="46"/>
      <c r="G51" s="47"/>
      <c r="H51" s="44"/>
      <c r="I51" s="48"/>
    </row>
    <row r="52" spans="2:11" ht="20.100000000000001" customHeight="1" x14ac:dyDescent="0.25">
      <c r="B52" s="101"/>
      <c r="C52" s="109"/>
      <c r="D52" s="45"/>
      <c r="E52" s="44"/>
      <c r="F52" s="46"/>
      <c r="G52" s="47"/>
      <c r="H52" s="44"/>
      <c r="I52" s="48"/>
    </row>
    <row r="53" spans="2:11" ht="20.100000000000001" customHeight="1" x14ac:dyDescent="0.25">
      <c r="B53" s="52"/>
      <c r="C53" s="50"/>
      <c r="D53" s="45"/>
      <c r="E53" s="44"/>
      <c r="F53" s="46"/>
      <c r="G53" s="47"/>
      <c r="H53" s="44"/>
      <c r="I53" s="56"/>
    </row>
    <row r="54" spans="2:11" ht="20.100000000000001" customHeight="1" x14ac:dyDescent="0.25">
      <c r="B54" s="52"/>
      <c r="C54" s="50"/>
      <c r="D54" s="45"/>
      <c r="E54" s="44"/>
      <c r="F54" s="46"/>
      <c r="G54" s="47"/>
      <c r="H54" s="44"/>
      <c r="I54" s="48"/>
    </row>
    <row r="55" spans="2:11" ht="19.5" customHeight="1" thickBot="1" x14ac:dyDescent="0.3">
      <c r="B55" s="52"/>
      <c r="C55" s="66" t="s">
        <v>6</v>
      </c>
      <c r="D55" s="67">
        <f>SUM(D7:D54)</f>
        <v>315</v>
      </c>
      <c r="E55" s="68"/>
      <c r="F55" s="69">
        <f>SUM(F7:F54)</f>
        <v>33750.000900000006</v>
      </c>
      <c r="G55" s="67">
        <f>SUM(G7:G54)</f>
        <v>298</v>
      </c>
      <c r="H55" s="68"/>
      <c r="I55" s="70">
        <f>SUM(I7:I54)</f>
        <v>31928.57228</v>
      </c>
      <c r="K55" s="34"/>
    </row>
    <row r="56" spans="2:11" ht="16.5" thickTop="1" thickBot="1" x14ac:dyDescent="0.3">
      <c r="B56" s="71"/>
      <c r="C56" s="72"/>
      <c r="D56" s="78"/>
      <c r="E56" s="72"/>
      <c r="F56" s="79"/>
      <c r="G56" s="80"/>
      <c r="H56" s="72"/>
      <c r="I56" s="81"/>
    </row>
    <row r="59" spans="2:11" x14ac:dyDescent="0.25">
      <c r="I59" s="3"/>
    </row>
  </sheetData>
  <mergeCells count="4">
    <mergeCell ref="B4:B5"/>
    <mergeCell ref="C4:C5"/>
    <mergeCell ref="D4:F4"/>
    <mergeCell ref="G4:I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9222A-88DE-4287-9D29-472B6FE3F26D}">
  <sheetPr>
    <tabColor theme="5" tint="0.39997558519241921"/>
  </sheetPr>
  <dimension ref="B2:I42"/>
  <sheetViews>
    <sheetView workbookViewId="0">
      <pane ySplit="5" topLeftCell="A25" activePane="bottomLeft" state="frozen"/>
      <selection pane="bottomLeft" activeCell="E34" sqref="E34"/>
    </sheetView>
  </sheetViews>
  <sheetFormatPr baseColWidth="10" defaultRowHeight="15" x14ac:dyDescent="0.25"/>
  <cols>
    <col min="1" max="1" width="4.5703125" customWidth="1"/>
    <col min="2" max="2" width="11.85546875" customWidth="1"/>
    <col min="3" max="3" width="43.5703125" customWidth="1"/>
    <col min="4" max="4" width="14.140625" bestFit="1" customWidth="1"/>
    <col min="6" max="6" width="13.42578125" customWidth="1"/>
    <col min="9" max="9" width="13.85546875" customWidth="1"/>
  </cols>
  <sheetData>
    <row r="2" spans="2:9" ht="15.75" x14ac:dyDescent="0.25">
      <c r="C2" s="21" t="s">
        <v>61</v>
      </c>
    </row>
    <row r="3" spans="2:9" ht="15.75" customHeight="1" thickBot="1" x14ac:dyDescent="0.3"/>
    <row r="4" spans="2:9" ht="15.75" customHeight="1" thickBot="1" x14ac:dyDescent="0.3">
      <c r="B4" s="125" t="s">
        <v>8</v>
      </c>
      <c r="C4" s="125" t="s">
        <v>7</v>
      </c>
      <c r="D4" s="122" t="s">
        <v>1</v>
      </c>
      <c r="E4" s="123"/>
      <c r="F4" s="124"/>
      <c r="G4" s="122" t="s">
        <v>5</v>
      </c>
      <c r="H4" s="123"/>
      <c r="I4" s="124"/>
    </row>
    <row r="5" spans="2:9" ht="15.75" thickBot="1" x14ac:dyDescent="0.3">
      <c r="B5" s="126"/>
      <c r="C5" s="126"/>
      <c r="D5" s="13" t="s">
        <v>2</v>
      </c>
      <c r="E5" s="13" t="s">
        <v>3</v>
      </c>
      <c r="F5" s="13" t="s">
        <v>4</v>
      </c>
      <c r="G5" s="13" t="s">
        <v>2</v>
      </c>
      <c r="H5" s="13" t="s">
        <v>3</v>
      </c>
      <c r="I5" s="13" t="s">
        <v>4</v>
      </c>
    </row>
    <row r="6" spans="2:9" ht="15.75" thickBot="1" x14ac:dyDescent="0.3"/>
    <row r="7" spans="2:9" ht="20.100000000000001" customHeight="1" x14ac:dyDescent="0.25">
      <c r="B7" s="14"/>
      <c r="C7" s="15" t="s">
        <v>9</v>
      </c>
      <c r="D7" s="16">
        <v>0</v>
      </c>
      <c r="E7" s="15">
        <v>186.60713999999999</v>
      </c>
      <c r="F7" s="18">
        <f>+D7*E7</f>
        <v>0</v>
      </c>
      <c r="G7" s="19"/>
      <c r="H7" s="15"/>
      <c r="I7" s="20"/>
    </row>
    <row r="8" spans="2:9" ht="20.100000000000001" customHeight="1" x14ac:dyDescent="0.25">
      <c r="B8" s="115">
        <v>45797</v>
      </c>
      <c r="C8" s="5" t="s">
        <v>57</v>
      </c>
      <c r="D8" s="6">
        <v>30</v>
      </c>
      <c r="E8" s="5">
        <v>186.60713999999999</v>
      </c>
      <c r="F8" s="8">
        <f>+D8*E8</f>
        <v>5598.2141999999994</v>
      </c>
      <c r="G8" s="9"/>
      <c r="H8" s="5"/>
      <c r="I8" s="10"/>
    </row>
    <row r="9" spans="2:9" ht="20.100000000000001" customHeight="1" x14ac:dyDescent="0.25">
      <c r="B9" s="87">
        <v>45808</v>
      </c>
      <c r="C9" s="5" t="s">
        <v>60</v>
      </c>
      <c r="D9" s="6"/>
      <c r="E9" s="5"/>
      <c r="F9" s="8"/>
      <c r="G9" s="9">
        <v>0</v>
      </c>
      <c r="H9" s="5">
        <v>186.60713999999999</v>
      </c>
      <c r="I9" s="10">
        <f>+G9*H9</f>
        <v>0</v>
      </c>
    </row>
    <row r="10" spans="2:9" ht="20.100000000000001" customHeight="1" x14ac:dyDescent="0.25">
      <c r="B10" s="87"/>
      <c r="C10" s="23" t="s">
        <v>10</v>
      </c>
      <c r="D10" s="6"/>
      <c r="E10" s="5"/>
      <c r="F10" s="8"/>
      <c r="G10" s="9"/>
      <c r="H10" s="5"/>
      <c r="I10" s="11"/>
    </row>
    <row r="11" spans="2:9" ht="20.100000000000001" customHeight="1" x14ac:dyDescent="0.25">
      <c r="B11" s="43"/>
      <c r="C11" s="51"/>
      <c r="D11" s="45"/>
      <c r="E11" s="44"/>
      <c r="F11" s="46"/>
      <c r="G11" s="47"/>
      <c r="H11" s="44"/>
      <c r="I11" s="48"/>
    </row>
    <row r="12" spans="2:9" ht="20.100000000000001" customHeight="1" x14ac:dyDescent="0.25">
      <c r="B12" s="92">
        <v>45838</v>
      </c>
      <c r="C12" s="44" t="s">
        <v>63</v>
      </c>
      <c r="D12" s="45"/>
      <c r="E12" s="44"/>
      <c r="F12" s="46"/>
      <c r="G12" s="47">
        <v>13</v>
      </c>
      <c r="H12" s="44">
        <v>186.60713999999999</v>
      </c>
      <c r="I12" s="56">
        <f>+G12*H12</f>
        <v>2425.89282</v>
      </c>
    </row>
    <row r="13" spans="2:9" ht="20.100000000000001" customHeight="1" x14ac:dyDescent="0.25">
      <c r="B13" s="85"/>
      <c r="C13" s="109" t="s">
        <v>10</v>
      </c>
      <c r="D13" s="45"/>
      <c r="E13" s="44"/>
      <c r="F13" s="46"/>
      <c r="G13" s="47"/>
      <c r="H13" s="44"/>
      <c r="I13" s="48"/>
    </row>
    <row r="14" spans="2:9" ht="20.100000000000001" customHeight="1" x14ac:dyDescent="0.25">
      <c r="B14" s="43"/>
      <c r="C14" s="49"/>
      <c r="D14" s="53"/>
      <c r="E14" s="49"/>
      <c r="F14" s="54"/>
      <c r="G14" s="55"/>
      <c r="H14" s="49"/>
      <c r="I14" s="93"/>
    </row>
    <row r="15" spans="2:9" ht="20.100000000000001" customHeight="1" x14ac:dyDescent="0.25">
      <c r="B15" s="115">
        <v>45869</v>
      </c>
      <c r="C15" s="5" t="s">
        <v>64</v>
      </c>
      <c r="D15" s="6"/>
      <c r="E15" s="5"/>
      <c r="F15" s="8"/>
      <c r="G15" s="9">
        <v>9</v>
      </c>
      <c r="H15" s="5">
        <v>186.60713999999999</v>
      </c>
      <c r="I15" s="10">
        <f>+G15*H15</f>
        <v>1679.46426</v>
      </c>
    </row>
    <row r="16" spans="2:9" ht="20.100000000000001" customHeight="1" x14ac:dyDescent="0.25">
      <c r="B16" s="87"/>
      <c r="C16" s="23" t="s">
        <v>10</v>
      </c>
      <c r="D16" s="6"/>
      <c r="E16" s="5"/>
      <c r="F16" s="8"/>
      <c r="G16" s="9"/>
      <c r="H16" s="5"/>
      <c r="I16" s="11"/>
    </row>
    <row r="17" spans="2:9" ht="20.100000000000001" customHeight="1" x14ac:dyDescent="0.25">
      <c r="B17" s="43"/>
      <c r="C17" s="51"/>
      <c r="D17" s="45"/>
      <c r="E17" s="44"/>
      <c r="F17" s="46"/>
      <c r="G17" s="47"/>
      <c r="H17" s="44"/>
      <c r="I17" s="48"/>
    </row>
    <row r="18" spans="2:9" ht="20.100000000000001" customHeight="1" x14ac:dyDescent="0.25">
      <c r="B18" s="92">
        <v>45874</v>
      </c>
      <c r="C18" s="44" t="s">
        <v>70</v>
      </c>
      <c r="D18" s="45">
        <v>30</v>
      </c>
      <c r="E18" s="44">
        <v>186.60713999999999</v>
      </c>
      <c r="F18" s="46">
        <f>+D18*E18</f>
        <v>5598.2141999999994</v>
      </c>
      <c r="G18" s="47"/>
      <c r="H18" s="44"/>
      <c r="I18" s="56"/>
    </row>
    <row r="19" spans="2:9" ht="20.100000000000001" customHeight="1" x14ac:dyDescent="0.25">
      <c r="B19" s="85">
        <v>45900</v>
      </c>
      <c r="C19" s="44" t="s">
        <v>67</v>
      </c>
      <c r="D19" s="45"/>
      <c r="E19" s="44"/>
      <c r="F19" s="46"/>
      <c r="G19" s="47">
        <v>25</v>
      </c>
      <c r="H19" s="44">
        <v>186.60713999999999</v>
      </c>
      <c r="I19" s="56">
        <f>+G19*H19</f>
        <v>4665.1785</v>
      </c>
    </row>
    <row r="20" spans="2:9" ht="20.100000000000001" customHeight="1" x14ac:dyDescent="0.25">
      <c r="B20" s="85"/>
      <c r="C20" s="109" t="s">
        <v>10</v>
      </c>
      <c r="D20" s="45"/>
      <c r="E20" s="44"/>
      <c r="F20" s="46"/>
      <c r="G20" s="47"/>
      <c r="H20" s="44"/>
      <c r="I20" s="48"/>
    </row>
    <row r="21" spans="2:9" ht="20.100000000000001" customHeight="1" x14ac:dyDescent="0.25">
      <c r="B21" s="43"/>
      <c r="C21" s="49"/>
      <c r="D21" s="53"/>
      <c r="E21" s="49"/>
      <c r="F21" s="54"/>
      <c r="G21" s="55"/>
      <c r="H21" s="49"/>
      <c r="I21" s="93"/>
    </row>
    <row r="22" spans="2:9" ht="20.100000000000001" customHeight="1" x14ac:dyDescent="0.25">
      <c r="B22" s="115">
        <v>45930</v>
      </c>
      <c r="C22" s="5" t="s">
        <v>73</v>
      </c>
      <c r="D22" s="6"/>
      <c r="E22" s="5"/>
      <c r="F22" s="8"/>
      <c r="G22" s="9">
        <v>5</v>
      </c>
      <c r="H22" s="5">
        <v>186.60713999999999</v>
      </c>
      <c r="I22" s="10">
        <f>+G22*H22</f>
        <v>933.03569999999991</v>
      </c>
    </row>
    <row r="23" spans="2:9" ht="20.100000000000001" customHeight="1" x14ac:dyDescent="0.25">
      <c r="B23" s="87"/>
      <c r="C23" s="23" t="s">
        <v>10</v>
      </c>
      <c r="D23" s="6"/>
      <c r="E23" s="5"/>
      <c r="F23" s="8"/>
      <c r="G23" s="9"/>
      <c r="H23" s="5"/>
      <c r="I23" s="11"/>
    </row>
    <row r="24" spans="2:9" ht="20.100000000000001" customHeight="1" x14ac:dyDescent="0.25">
      <c r="B24" s="43"/>
      <c r="C24" s="51"/>
      <c r="D24" s="45"/>
      <c r="E24" s="44"/>
      <c r="F24" s="46"/>
      <c r="G24" s="47"/>
      <c r="H24" s="44"/>
      <c r="I24" s="48"/>
    </row>
    <row r="25" spans="2:9" ht="20.100000000000001" customHeight="1" x14ac:dyDescent="0.25">
      <c r="B25" s="92">
        <v>45957</v>
      </c>
      <c r="C25" s="44" t="s">
        <v>75</v>
      </c>
      <c r="D25" s="45">
        <v>30</v>
      </c>
      <c r="E25" s="44">
        <v>186.60713999999999</v>
      </c>
      <c r="F25" s="46">
        <f>+D25*E25</f>
        <v>5598.2141999999994</v>
      </c>
      <c r="G25" s="47"/>
      <c r="H25" s="44"/>
      <c r="I25" s="56"/>
    </row>
    <row r="26" spans="2:9" ht="20.100000000000001" customHeight="1" x14ac:dyDescent="0.25">
      <c r="B26" s="85">
        <v>45961</v>
      </c>
      <c r="C26" s="44" t="s">
        <v>74</v>
      </c>
      <c r="D26" s="45"/>
      <c r="E26" s="44"/>
      <c r="F26" s="46"/>
      <c r="G26" s="47">
        <v>18</v>
      </c>
      <c r="H26" s="44">
        <v>186.60713999999999</v>
      </c>
      <c r="I26" s="56">
        <f>+G26*H26</f>
        <v>3358.9285199999999</v>
      </c>
    </row>
    <row r="27" spans="2:9" ht="20.100000000000001" customHeight="1" x14ac:dyDescent="0.25">
      <c r="B27" s="85"/>
      <c r="C27" s="109" t="s">
        <v>10</v>
      </c>
      <c r="D27" s="45"/>
      <c r="E27" s="44"/>
      <c r="F27" s="46"/>
      <c r="G27" s="47"/>
      <c r="H27" s="44"/>
      <c r="I27" s="48"/>
    </row>
    <row r="28" spans="2:9" ht="20.100000000000001" customHeight="1" x14ac:dyDescent="0.25">
      <c r="B28" s="43"/>
      <c r="C28" s="49"/>
      <c r="D28" s="53"/>
      <c r="E28" s="49"/>
      <c r="F28" s="54"/>
      <c r="G28" s="55"/>
      <c r="H28" s="49"/>
      <c r="I28" s="93"/>
    </row>
    <row r="29" spans="2:9" ht="20.100000000000001" customHeight="1" x14ac:dyDescent="0.25">
      <c r="B29" s="115">
        <v>45991</v>
      </c>
      <c r="C29" s="5" t="s">
        <v>79</v>
      </c>
      <c r="D29" s="6"/>
      <c r="E29" s="5"/>
      <c r="F29" s="8"/>
      <c r="G29" s="9">
        <v>16</v>
      </c>
      <c r="H29" s="5">
        <v>186.60713999999999</v>
      </c>
      <c r="I29" s="10">
        <f>+G29*H29</f>
        <v>2985.7142399999998</v>
      </c>
    </row>
    <row r="30" spans="2:9" ht="20.100000000000001" customHeight="1" x14ac:dyDescent="0.25">
      <c r="B30" s="87"/>
      <c r="C30" s="23" t="s">
        <v>10</v>
      </c>
      <c r="D30" s="6"/>
      <c r="E30" s="5"/>
      <c r="F30" s="8"/>
      <c r="G30" s="9"/>
      <c r="H30" s="5"/>
      <c r="I30" s="11"/>
    </row>
    <row r="31" spans="2:9" ht="20.100000000000001" customHeight="1" x14ac:dyDescent="0.25">
      <c r="B31" s="43"/>
      <c r="C31" s="49"/>
      <c r="D31" s="55"/>
      <c r="E31" s="44"/>
      <c r="F31" s="46"/>
      <c r="G31" s="47"/>
      <c r="H31" s="44"/>
      <c r="I31" s="48"/>
    </row>
    <row r="32" spans="2:9" ht="20.100000000000001" customHeight="1" x14ac:dyDescent="0.25">
      <c r="B32" s="92">
        <v>46000</v>
      </c>
      <c r="C32" s="44" t="s">
        <v>82</v>
      </c>
      <c r="D32" s="45">
        <v>30</v>
      </c>
      <c r="E32" s="44">
        <v>186.60713999999999</v>
      </c>
      <c r="F32" s="46">
        <f>+D32*E32</f>
        <v>5598.2141999999994</v>
      </c>
      <c r="G32" s="47"/>
      <c r="H32" s="44"/>
      <c r="I32" s="56"/>
    </row>
    <row r="33" spans="2:9" ht="20.100000000000001" customHeight="1" x14ac:dyDescent="0.25">
      <c r="B33" s="85">
        <v>46022</v>
      </c>
      <c r="C33" s="44" t="s">
        <v>81</v>
      </c>
      <c r="D33" s="45"/>
      <c r="E33" s="44"/>
      <c r="F33" s="46"/>
      <c r="G33" s="47">
        <v>20</v>
      </c>
      <c r="H33" s="44">
        <v>186.60713999999999</v>
      </c>
      <c r="I33" s="56">
        <f>+G33*H33</f>
        <v>3732.1427999999996</v>
      </c>
    </row>
    <row r="34" spans="2:9" ht="20.100000000000001" customHeight="1" x14ac:dyDescent="0.25">
      <c r="B34" s="85"/>
      <c r="C34" s="109" t="s">
        <v>10</v>
      </c>
      <c r="D34" s="45"/>
      <c r="E34" s="44"/>
      <c r="F34" s="46"/>
      <c r="G34" s="47"/>
      <c r="H34" s="44"/>
      <c r="I34" s="48"/>
    </row>
    <row r="35" spans="2:9" ht="20.100000000000001" customHeight="1" x14ac:dyDescent="0.25">
      <c r="B35" s="52"/>
      <c r="C35" s="50"/>
      <c r="D35" s="45"/>
      <c r="E35" s="44"/>
      <c r="F35" s="46"/>
      <c r="G35" s="47"/>
      <c r="H35" s="44"/>
      <c r="I35" s="48"/>
    </row>
    <row r="36" spans="2:9" ht="20.100000000000001" customHeight="1" x14ac:dyDescent="0.25">
      <c r="B36" s="52"/>
      <c r="C36" s="50"/>
      <c r="D36" s="45"/>
      <c r="E36" s="44"/>
      <c r="F36" s="46"/>
      <c r="G36" s="47"/>
      <c r="H36" s="44"/>
      <c r="I36" s="56"/>
    </row>
    <row r="37" spans="2:9" ht="20.100000000000001" customHeight="1" x14ac:dyDescent="0.25">
      <c r="B37" s="52"/>
      <c r="C37" s="50"/>
      <c r="D37" s="45"/>
      <c r="E37" s="44"/>
      <c r="F37" s="46"/>
      <c r="G37" s="47"/>
      <c r="H37" s="44"/>
      <c r="I37" s="48"/>
    </row>
    <row r="38" spans="2:9" ht="20.100000000000001" customHeight="1" thickBot="1" x14ac:dyDescent="0.3">
      <c r="B38" s="52"/>
      <c r="C38" s="66" t="s">
        <v>6</v>
      </c>
      <c r="D38" s="67">
        <f>SUM(D7:D37)</f>
        <v>120</v>
      </c>
      <c r="E38" s="68"/>
      <c r="F38" s="69">
        <f>SUM(F7:F37)</f>
        <v>22392.856799999998</v>
      </c>
      <c r="G38" s="67">
        <f>SUM(G7:G37)</f>
        <v>106</v>
      </c>
      <c r="H38" s="68"/>
      <c r="I38" s="70">
        <f>SUM(I7:I37)</f>
        <v>19780.35684</v>
      </c>
    </row>
    <row r="39" spans="2:9" ht="20.100000000000001" customHeight="1" thickTop="1" thickBot="1" x14ac:dyDescent="0.3">
      <c r="B39" s="71"/>
      <c r="C39" s="72"/>
      <c r="D39" s="78"/>
      <c r="E39" s="72"/>
      <c r="F39" s="79"/>
      <c r="G39" s="80"/>
      <c r="H39" s="72"/>
      <c r="I39" s="81"/>
    </row>
    <row r="42" spans="2:9" x14ac:dyDescent="0.25">
      <c r="I42" s="3"/>
    </row>
  </sheetData>
  <mergeCells count="4">
    <mergeCell ref="B4:B5"/>
    <mergeCell ref="C4:C5"/>
    <mergeCell ref="D4:F4"/>
    <mergeCell ref="G4:I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B2:I82"/>
  <sheetViews>
    <sheetView workbookViewId="0">
      <pane ySplit="5" topLeftCell="A32" activePane="bottomLeft" state="frozen"/>
      <selection pane="bottomLeft" activeCell="I42" sqref="I42"/>
    </sheetView>
  </sheetViews>
  <sheetFormatPr baseColWidth="10" defaultRowHeight="15" x14ac:dyDescent="0.25"/>
  <cols>
    <col min="1" max="1" width="4.5703125" customWidth="1"/>
    <col min="2" max="2" width="11.85546875" customWidth="1"/>
    <col min="3" max="3" width="43.5703125" customWidth="1"/>
    <col min="4" max="4" width="14.140625" bestFit="1" customWidth="1"/>
    <col min="6" max="6" width="12" bestFit="1" customWidth="1"/>
    <col min="9" max="9" width="12" customWidth="1"/>
  </cols>
  <sheetData>
    <row r="2" spans="2:9" ht="15.75" x14ac:dyDescent="0.25">
      <c r="C2" s="21" t="s">
        <v>25</v>
      </c>
    </row>
    <row r="3" spans="2:9" ht="15.75" customHeight="1" thickBot="1" x14ac:dyDescent="0.3"/>
    <row r="4" spans="2:9" ht="15.75" customHeight="1" thickBot="1" x14ac:dyDescent="0.3">
      <c r="B4" s="125" t="s">
        <v>8</v>
      </c>
      <c r="C4" s="125" t="s">
        <v>7</v>
      </c>
      <c r="D4" s="122" t="s">
        <v>1</v>
      </c>
      <c r="E4" s="123"/>
      <c r="F4" s="124"/>
      <c r="G4" s="122" t="s">
        <v>5</v>
      </c>
      <c r="H4" s="123"/>
      <c r="I4" s="124"/>
    </row>
    <row r="5" spans="2:9" ht="15.75" thickBot="1" x14ac:dyDescent="0.3">
      <c r="B5" s="126"/>
      <c r="C5" s="126"/>
      <c r="D5" s="13" t="s">
        <v>2</v>
      </c>
      <c r="E5" s="13" t="s">
        <v>3</v>
      </c>
      <c r="F5" s="13" t="s">
        <v>4</v>
      </c>
      <c r="G5" s="13" t="s">
        <v>2</v>
      </c>
      <c r="H5" s="13" t="s">
        <v>3</v>
      </c>
      <c r="I5" s="13" t="s">
        <v>4</v>
      </c>
    </row>
    <row r="6" spans="2:9" ht="15.75" thickBot="1" x14ac:dyDescent="0.3"/>
    <row r="7" spans="2:9" ht="19.5" customHeight="1" x14ac:dyDescent="0.25">
      <c r="B7" s="14"/>
      <c r="C7" s="15" t="s">
        <v>9</v>
      </c>
      <c r="D7" s="16">
        <v>33</v>
      </c>
      <c r="E7" s="15">
        <v>42.056089999999998</v>
      </c>
      <c r="F7" s="18">
        <f>+D7*E7</f>
        <v>1387.85097</v>
      </c>
      <c r="G7" s="19"/>
      <c r="H7" s="15"/>
      <c r="I7" s="20"/>
    </row>
    <row r="8" spans="2:9" ht="19.5" customHeight="1" x14ac:dyDescent="0.25">
      <c r="B8" s="87">
        <v>45688</v>
      </c>
      <c r="C8" s="5" t="s">
        <v>24</v>
      </c>
      <c r="D8" s="27"/>
      <c r="E8" s="22"/>
      <c r="F8" s="28"/>
      <c r="G8" s="29">
        <v>3</v>
      </c>
      <c r="H8" s="22">
        <v>42.056089999999998</v>
      </c>
      <c r="I8" s="105">
        <f>+G8*H8</f>
        <v>126.16826999999999</v>
      </c>
    </row>
    <row r="9" spans="2:9" ht="19.5" customHeight="1" x14ac:dyDescent="0.25">
      <c r="B9" s="30"/>
      <c r="C9" s="31" t="s">
        <v>10</v>
      </c>
      <c r="D9" s="27"/>
      <c r="E9" s="22"/>
      <c r="F9" s="28"/>
      <c r="G9" s="29"/>
      <c r="H9" s="22"/>
      <c r="I9" s="105"/>
    </row>
    <row r="10" spans="2:9" ht="19.5" customHeight="1" x14ac:dyDescent="0.25">
      <c r="B10" s="43"/>
      <c r="C10" s="51"/>
      <c r="D10" s="53"/>
      <c r="E10" s="49"/>
      <c r="F10" s="54"/>
      <c r="G10" s="55"/>
      <c r="H10" s="49"/>
      <c r="I10" s="56"/>
    </row>
    <row r="11" spans="2:9" ht="19.5" customHeight="1" x14ac:dyDescent="0.25">
      <c r="B11" s="85">
        <v>45716</v>
      </c>
      <c r="C11" s="49" t="s">
        <v>48</v>
      </c>
      <c r="D11" s="57"/>
      <c r="E11" s="50"/>
      <c r="F11" s="58"/>
      <c r="G11" s="59">
        <v>1</v>
      </c>
      <c r="H11" s="50">
        <v>42.056089999999998</v>
      </c>
      <c r="I11" s="56">
        <f>+G11*H11</f>
        <v>42.056089999999998</v>
      </c>
    </row>
    <row r="12" spans="2:9" ht="19.5" customHeight="1" x14ac:dyDescent="0.25">
      <c r="B12" s="43"/>
      <c r="C12" s="114" t="s">
        <v>10</v>
      </c>
      <c r="D12" s="53"/>
      <c r="E12" s="49"/>
      <c r="F12" s="54"/>
      <c r="G12" s="55"/>
      <c r="H12" s="49"/>
      <c r="I12" s="56"/>
    </row>
    <row r="13" spans="2:9" ht="19.5" customHeight="1" x14ac:dyDescent="0.25">
      <c r="B13" s="43"/>
      <c r="C13" s="120"/>
      <c r="D13" s="53"/>
      <c r="E13" s="49"/>
      <c r="F13" s="54"/>
      <c r="G13" s="55"/>
      <c r="H13" s="49"/>
      <c r="I13" s="60"/>
    </row>
    <row r="14" spans="2:9" ht="19.5" customHeight="1" x14ac:dyDescent="0.25">
      <c r="B14" s="115">
        <v>45747</v>
      </c>
      <c r="C14" s="5" t="s">
        <v>50</v>
      </c>
      <c r="D14" s="116"/>
      <c r="E14" s="117"/>
      <c r="F14" s="118"/>
      <c r="G14" s="119">
        <v>0</v>
      </c>
      <c r="H14" s="117">
        <v>42.056089999999998</v>
      </c>
      <c r="I14" s="105">
        <f>+G14*H14</f>
        <v>0</v>
      </c>
    </row>
    <row r="15" spans="2:9" ht="19.5" customHeight="1" x14ac:dyDescent="0.25">
      <c r="B15" s="4"/>
      <c r="C15" s="110" t="s">
        <v>10</v>
      </c>
      <c r="D15" s="102"/>
      <c r="E15" s="12"/>
      <c r="F15" s="33"/>
      <c r="G15" s="103"/>
      <c r="H15" s="12"/>
      <c r="I15" s="105"/>
    </row>
    <row r="16" spans="2:9" ht="19.5" customHeight="1" x14ac:dyDescent="0.25">
      <c r="B16" s="108"/>
      <c r="C16" s="111"/>
      <c r="D16" s="45"/>
      <c r="E16" s="44"/>
      <c r="F16" s="46"/>
      <c r="G16" s="47"/>
      <c r="H16" s="44"/>
      <c r="I16" s="56"/>
    </row>
    <row r="17" spans="2:9" ht="19.5" customHeight="1" x14ac:dyDescent="0.25">
      <c r="B17" s="92">
        <v>45777</v>
      </c>
      <c r="C17" s="44" t="s">
        <v>55</v>
      </c>
      <c r="D17" s="62"/>
      <c r="E17" s="61"/>
      <c r="F17" s="63"/>
      <c r="G17" s="64">
        <v>4</v>
      </c>
      <c r="H17" s="61">
        <v>42.056089999999998</v>
      </c>
      <c r="I17" s="56">
        <f>+G17*H17</f>
        <v>168.22435999999999</v>
      </c>
    </row>
    <row r="18" spans="2:9" ht="19.5" customHeight="1" x14ac:dyDescent="0.25">
      <c r="B18" s="43"/>
      <c r="C18" s="113" t="s">
        <v>10</v>
      </c>
      <c r="D18" s="53"/>
      <c r="E18" s="49"/>
      <c r="F18" s="54"/>
      <c r="G18" s="55"/>
      <c r="H18" s="49"/>
      <c r="I18" s="56"/>
    </row>
    <row r="19" spans="2:9" ht="19.5" customHeight="1" x14ac:dyDescent="0.25">
      <c r="B19" s="108"/>
      <c r="C19" s="111"/>
      <c r="D19" s="45"/>
      <c r="E19" s="44"/>
      <c r="F19" s="46"/>
      <c r="G19" s="47"/>
      <c r="H19" s="44"/>
      <c r="I19" s="56"/>
    </row>
    <row r="20" spans="2:9" ht="19.5" customHeight="1" x14ac:dyDescent="0.25">
      <c r="B20" s="87">
        <v>45808</v>
      </c>
      <c r="C20" s="12" t="s">
        <v>60</v>
      </c>
      <c r="D20" s="27"/>
      <c r="E20" s="22"/>
      <c r="F20" s="28"/>
      <c r="G20" s="29">
        <v>2</v>
      </c>
      <c r="H20" s="22">
        <v>42.056089999999998</v>
      </c>
      <c r="I20" s="105">
        <f>+G20*H20</f>
        <v>84.112179999999995</v>
      </c>
    </row>
    <row r="21" spans="2:9" ht="19.5" customHeight="1" x14ac:dyDescent="0.25">
      <c r="B21" s="4"/>
      <c r="C21" s="31" t="s">
        <v>10</v>
      </c>
      <c r="D21" s="102"/>
      <c r="E21" s="12"/>
      <c r="F21" s="33"/>
      <c r="G21" s="103"/>
      <c r="H21" s="12"/>
      <c r="I21" s="105"/>
    </row>
    <row r="22" spans="2:9" ht="19.5" customHeight="1" x14ac:dyDescent="0.25">
      <c r="B22" s="108"/>
      <c r="C22" s="111"/>
      <c r="D22" s="45"/>
      <c r="E22" s="44"/>
      <c r="F22" s="46"/>
      <c r="G22" s="47"/>
      <c r="H22" s="44"/>
      <c r="I22" s="56"/>
    </row>
    <row r="23" spans="2:9" ht="19.5" customHeight="1" x14ac:dyDescent="0.25">
      <c r="B23" s="92">
        <v>45838</v>
      </c>
      <c r="C23" s="44" t="s">
        <v>63</v>
      </c>
      <c r="D23" s="62"/>
      <c r="E23" s="61"/>
      <c r="F23" s="63"/>
      <c r="G23" s="64">
        <v>1</v>
      </c>
      <c r="H23" s="61">
        <v>42.056089999999998</v>
      </c>
      <c r="I23" s="56">
        <f>+G23*H23</f>
        <v>42.056089999999998</v>
      </c>
    </row>
    <row r="24" spans="2:9" ht="19.5" customHeight="1" x14ac:dyDescent="0.25">
      <c r="B24" s="43"/>
      <c r="C24" s="113" t="s">
        <v>10</v>
      </c>
      <c r="D24" s="53"/>
      <c r="E24" s="49"/>
      <c r="F24" s="54"/>
      <c r="G24" s="55"/>
      <c r="H24" s="49"/>
      <c r="I24" s="56"/>
    </row>
    <row r="25" spans="2:9" ht="19.5" customHeight="1" x14ac:dyDescent="0.25">
      <c r="B25" s="108"/>
      <c r="C25" s="111"/>
      <c r="D25" s="45"/>
      <c r="E25" s="44"/>
      <c r="F25" s="46"/>
      <c r="G25" s="47"/>
      <c r="H25" s="44"/>
      <c r="I25" s="56"/>
    </row>
    <row r="26" spans="2:9" ht="19.5" customHeight="1" x14ac:dyDescent="0.25">
      <c r="B26" s="115">
        <v>45869</v>
      </c>
      <c r="C26" s="5" t="s">
        <v>64</v>
      </c>
      <c r="D26" s="116"/>
      <c r="E26" s="117"/>
      <c r="F26" s="118"/>
      <c r="G26" s="119">
        <v>4</v>
      </c>
      <c r="H26" s="117">
        <v>42.056089999999998</v>
      </c>
      <c r="I26" s="105">
        <f>+G26*H26</f>
        <v>168.22435999999999</v>
      </c>
    </row>
    <row r="27" spans="2:9" ht="19.5" customHeight="1" x14ac:dyDescent="0.25">
      <c r="B27" s="4"/>
      <c r="C27" s="110" t="s">
        <v>10</v>
      </c>
      <c r="D27" s="102"/>
      <c r="E27" s="12"/>
      <c r="F27" s="33"/>
      <c r="G27" s="103"/>
      <c r="H27" s="12"/>
      <c r="I27" s="105"/>
    </row>
    <row r="28" spans="2:9" ht="19.5" customHeight="1" x14ac:dyDescent="0.25">
      <c r="B28" s="108"/>
      <c r="C28" s="111"/>
      <c r="D28" s="45"/>
      <c r="E28" s="44"/>
      <c r="F28" s="46"/>
      <c r="G28" s="47"/>
      <c r="H28" s="44"/>
      <c r="I28" s="56"/>
    </row>
    <row r="29" spans="2:9" ht="19.5" customHeight="1" x14ac:dyDescent="0.25">
      <c r="B29" s="92">
        <v>45900</v>
      </c>
      <c r="C29" s="44" t="s">
        <v>67</v>
      </c>
      <c r="D29" s="62"/>
      <c r="E29" s="61"/>
      <c r="F29" s="63"/>
      <c r="G29" s="64">
        <v>2</v>
      </c>
      <c r="H29" s="61">
        <v>42.056089999999998</v>
      </c>
      <c r="I29" s="56">
        <f>+G29*H29</f>
        <v>84.112179999999995</v>
      </c>
    </row>
    <row r="30" spans="2:9" ht="19.5" customHeight="1" x14ac:dyDescent="0.25">
      <c r="B30" s="43"/>
      <c r="C30" s="114" t="s">
        <v>10</v>
      </c>
      <c r="D30" s="53"/>
      <c r="E30" s="49"/>
      <c r="F30" s="54"/>
      <c r="G30" s="55"/>
      <c r="H30" s="49"/>
      <c r="I30" s="56"/>
    </row>
    <row r="31" spans="2:9" ht="19.5" customHeight="1" x14ac:dyDescent="0.25">
      <c r="B31" s="108"/>
      <c r="C31" s="111"/>
      <c r="D31" s="45"/>
      <c r="E31" s="44"/>
      <c r="F31" s="46"/>
      <c r="G31" s="47"/>
      <c r="H31" s="44"/>
      <c r="I31" s="56"/>
    </row>
    <row r="32" spans="2:9" ht="19.5" customHeight="1" x14ac:dyDescent="0.25">
      <c r="B32" s="115">
        <v>45930</v>
      </c>
      <c r="C32" s="5" t="s">
        <v>73</v>
      </c>
      <c r="D32" s="116"/>
      <c r="E32" s="117"/>
      <c r="F32" s="118"/>
      <c r="G32" s="119">
        <v>1</v>
      </c>
      <c r="H32" s="117">
        <v>42.056089999999998</v>
      </c>
      <c r="I32" s="105">
        <f>+G32*H32</f>
        <v>42.056089999999998</v>
      </c>
    </row>
    <row r="33" spans="2:9" ht="19.5" customHeight="1" x14ac:dyDescent="0.25">
      <c r="B33" s="4"/>
      <c r="C33" s="110" t="s">
        <v>10</v>
      </c>
      <c r="D33" s="102"/>
      <c r="E33" s="12"/>
      <c r="F33" s="33"/>
      <c r="G33" s="103"/>
      <c r="H33" s="12"/>
      <c r="I33" s="105"/>
    </row>
    <row r="34" spans="2:9" ht="19.5" customHeight="1" x14ac:dyDescent="0.25">
      <c r="B34" s="108"/>
      <c r="C34" s="111"/>
      <c r="D34" s="45"/>
      <c r="E34" s="44"/>
      <c r="F34" s="46"/>
      <c r="G34" s="47"/>
      <c r="H34" s="44"/>
      <c r="I34" s="56"/>
    </row>
    <row r="35" spans="2:9" ht="19.5" customHeight="1" x14ac:dyDescent="0.25">
      <c r="B35" s="92">
        <v>45961</v>
      </c>
      <c r="C35" s="44" t="s">
        <v>74</v>
      </c>
      <c r="D35" s="62"/>
      <c r="E35" s="61"/>
      <c r="F35" s="63"/>
      <c r="G35" s="64">
        <v>4</v>
      </c>
      <c r="H35" s="61">
        <v>42.056089999999998</v>
      </c>
      <c r="I35" s="56">
        <f>+G35*H35</f>
        <v>168.22435999999999</v>
      </c>
    </row>
    <row r="36" spans="2:9" ht="19.5" customHeight="1" x14ac:dyDescent="0.25">
      <c r="B36" s="43"/>
      <c r="C36" s="113" t="s">
        <v>10</v>
      </c>
      <c r="D36" s="53"/>
      <c r="E36" s="49"/>
      <c r="F36" s="54"/>
      <c r="G36" s="55"/>
      <c r="H36" s="49"/>
      <c r="I36" s="56"/>
    </row>
    <row r="37" spans="2:9" ht="19.5" customHeight="1" x14ac:dyDescent="0.25">
      <c r="B37" s="108"/>
      <c r="C37" s="111"/>
      <c r="D37" s="45"/>
      <c r="E37" s="44"/>
      <c r="F37" s="46"/>
      <c r="G37" s="47"/>
      <c r="H37" s="44"/>
      <c r="I37" s="56"/>
    </row>
    <row r="38" spans="2:9" ht="19.5" customHeight="1" x14ac:dyDescent="0.25">
      <c r="B38" s="115">
        <v>45991</v>
      </c>
      <c r="C38" s="5" t="s">
        <v>79</v>
      </c>
      <c r="D38" s="116"/>
      <c r="E38" s="117"/>
      <c r="F38" s="118"/>
      <c r="G38" s="119">
        <v>0</v>
      </c>
      <c r="H38" s="117">
        <v>42.056089999999998</v>
      </c>
      <c r="I38" s="105">
        <f>+G38*H38</f>
        <v>0</v>
      </c>
    </row>
    <row r="39" spans="2:9" ht="19.5" customHeight="1" x14ac:dyDescent="0.25">
      <c r="B39" s="4"/>
      <c r="C39" s="110" t="s">
        <v>10</v>
      </c>
      <c r="D39" s="102"/>
      <c r="E39" s="12"/>
      <c r="F39" s="33"/>
      <c r="G39" s="103"/>
      <c r="H39" s="12"/>
      <c r="I39" s="105"/>
    </row>
    <row r="40" spans="2:9" ht="19.5" customHeight="1" x14ac:dyDescent="0.25">
      <c r="B40" s="108"/>
      <c r="C40" s="111"/>
      <c r="D40" s="45"/>
      <c r="E40" s="44"/>
      <c r="F40" s="46"/>
      <c r="G40" s="47"/>
      <c r="H40" s="44"/>
      <c r="I40" s="56"/>
    </row>
    <row r="41" spans="2:9" ht="19.5" customHeight="1" x14ac:dyDescent="0.25">
      <c r="B41" s="92">
        <v>46022</v>
      </c>
      <c r="C41" s="44" t="s">
        <v>83</v>
      </c>
      <c r="D41" s="62"/>
      <c r="E41" s="61"/>
      <c r="F41" s="63"/>
      <c r="G41" s="64">
        <v>0</v>
      </c>
      <c r="H41" s="61">
        <v>42.056089999999998</v>
      </c>
      <c r="I41" s="56">
        <f>+G41*H41</f>
        <v>0</v>
      </c>
    </row>
    <row r="42" spans="2:9" ht="19.5" customHeight="1" x14ac:dyDescent="0.25">
      <c r="B42" s="43"/>
      <c r="C42" s="113" t="s">
        <v>10</v>
      </c>
      <c r="D42" s="53"/>
      <c r="E42" s="49"/>
      <c r="F42" s="54"/>
      <c r="G42" s="55"/>
      <c r="H42" s="49"/>
      <c r="I42" s="56"/>
    </row>
    <row r="43" spans="2:9" ht="19.5" customHeight="1" x14ac:dyDescent="0.25">
      <c r="B43" s="108"/>
      <c r="C43" s="111"/>
      <c r="D43" s="45"/>
      <c r="E43" s="44"/>
      <c r="F43" s="46"/>
      <c r="G43" s="47"/>
      <c r="H43" s="44"/>
      <c r="I43" s="56"/>
    </row>
    <row r="44" spans="2:9" ht="19.5" customHeight="1" x14ac:dyDescent="0.25">
      <c r="B44" s="108"/>
      <c r="C44" s="44"/>
      <c r="D44" s="45"/>
      <c r="E44" s="44"/>
      <c r="F44" s="46"/>
      <c r="G44" s="47"/>
      <c r="H44" s="44"/>
      <c r="I44" s="56"/>
    </row>
    <row r="45" spans="2:9" ht="19.5" customHeight="1" x14ac:dyDescent="0.25">
      <c r="B45" s="52"/>
      <c r="C45" s="50"/>
      <c r="D45" s="62"/>
      <c r="E45" s="61"/>
      <c r="F45" s="63"/>
      <c r="G45" s="64"/>
      <c r="H45" s="61"/>
      <c r="I45" s="65"/>
    </row>
    <row r="46" spans="2:9" ht="19.5" customHeight="1" thickBot="1" x14ac:dyDescent="0.3">
      <c r="B46" s="52"/>
      <c r="C46" s="66" t="s">
        <v>6</v>
      </c>
      <c r="D46" s="67">
        <f>SUM(D7:D45)</f>
        <v>33</v>
      </c>
      <c r="E46" s="68"/>
      <c r="F46" s="69">
        <f>SUM(F7:F45)</f>
        <v>1387.85097</v>
      </c>
      <c r="G46" s="67">
        <f>SUM(G7:G45)</f>
        <v>22</v>
      </c>
      <c r="H46" s="68"/>
      <c r="I46" s="70">
        <f>SUM(I7:I45)</f>
        <v>925.23397999999997</v>
      </c>
    </row>
    <row r="47" spans="2:9" ht="19.5" customHeight="1" thickTop="1" thickBot="1" x14ac:dyDescent="0.3">
      <c r="B47" s="71"/>
      <c r="C47" s="72"/>
      <c r="D47" s="78"/>
      <c r="E47" s="72"/>
      <c r="F47" s="79"/>
      <c r="G47" s="80"/>
      <c r="H47" s="72"/>
      <c r="I47" s="81"/>
    </row>
    <row r="48" spans="2:9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  <row r="60" ht="19.5" customHeight="1" x14ac:dyDescent="0.25"/>
    <row r="61" ht="19.5" customHeight="1" x14ac:dyDescent="0.25"/>
    <row r="62" ht="19.5" customHeight="1" x14ac:dyDescent="0.25"/>
    <row r="63" ht="19.5" customHeight="1" x14ac:dyDescent="0.25"/>
    <row r="64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  <row r="80" ht="19.5" customHeight="1" x14ac:dyDescent="0.25"/>
    <row r="81" ht="19.5" customHeight="1" x14ac:dyDescent="0.25"/>
    <row r="82" ht="19.5" customHeight="1" x14ac:dyDescent="0.25"/>
  </sheetData>
  <mergeCells count="4">
    <mergeCell ref="B4:B5"/>
    <mergeCell ref="C4:C5"/>
    <mergeCell ref="D4:F4"/>
    <mergeCell ref="G4:I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5E030-A571-463C-BE2F-219BB4A48A86}">
  <sheetPr>
    <tabColor rgb="FFFFFF00"/>
  </sheetPr>
  <dimension ref="B2:K81"/>
  <sheetViews>
    <sheetView workbookViewId="0">
      <pane ySplit="5" topLeftCell="A32" activePane="bottomLeft" state="frozen"/>
      <selection pane="bottomLeft" activeCell="E42" sqref="E42"/>
    </sheetView>
  </sheetViews>
  <sheetFormatPr baseColWidth="10" defaultRowHeight="15" x14ac:dyDescent="0.25"/>
  <cols>
    <col min="1" max="1" width="4.5703125" customWidth="1"/>
    <col min="2" max="2" width="11.85546875" customWidth="1"/>
    <col min="3" max="3" width="43.5703125" customWidth="1"/>
    <col min="4" max="4" width="14.140625" bestFit="1" customWidth="1"/>
    <col min="6" max="6" width="12" bestFit="1" customWidth="1"/>
    <col min="9" max="9" width="12" customWidth="1"/>
    <col min="11" max="11" width="12" bestFit="1" customWidth="1"/>
  </cols>
  <sheetData>
    <row r="2" spans="2:9" ht="15.75" x14ac:dyDescent="0.25">
      <c r="C2" s="21" t="s">
        <v>26</v>
      </c>
    </row>
    <row r="3" spans="2:9" ht="15.75" customHeight="1" thickBot="1" x14ac:dyDescent="0.3"/>
    <row r="4" spans="2:9" ht="15.75" customHeight="1" thickBot="1" x14ac:dyDescent="0.3">
      <c r="B4" s="125" t="s">
        <v>8</v>
      </c>
      <c r="C4" s="125" t="s">
        <v>7</v>
      </c>
      <c r="D4" s="122" t="s">
        <v>1</v>
      </c>
      <c r="E4" s="123"/>
      <c r="F4" s="124"/>
      <c r="G4" s="122" t="s">
        <v>5</v>
      </c>
      <c r="H4" s="123"/>
      <c r="I4" s="124"/>
    </row>
    <row r="5" spans="2:9" ht="15.75" thickBot="1" x14ac:dyDescent="0.3">
      <c r="B5" s="126"/>
      <c r="C5" s="126"/>
      <c r="D5" s="13" t="s">
        <v>2</v>
      </c>
      <c r="E5" s="13" t="s">
        <v>3</v>
      </c>
      <c r="F5" s="13" t="s">
        <v>4</v>
      </c>
      <c r="G5" s="13" t="s">
        <v>2</v>
      </c>
      <c r="H5" s="13" t="s">
        <v>3</v>
      </c>
      <c r="I5" s="13" t="s">
        <v>4</v>
      </c>
    </row>
    <row r="6" spans="2:9" ht="15.75" thickBot="1" x14ac:dyDescent="0.3"/>
    <row r="7" spans="2:9" ht="19.5" customHeight="1" x14ac:dyDescent="0.25">
      <c r="B7" s="14"/>
      <c r="C7" s="15" t="s">
        <v>9</v>
      </c>
      <c r="D7" s="82">
        <v>89</v>
      </c>
      <c r="E7" s="83">
        <v>103.38482</v>
      </c>
      <c r="F7" s="84">
        <f>+D7*E7</f>
        <v>9201.2489800000003</v>
      </c>
      <c r="G7" s="19"/>
      <c r="H7" s="15"/>
      <c r="I7" s="20"/>
    </row>
    <row r="8" spans="2:9" ht="19.5" customHeight="1" x14ac:dyDescent="0.25">
      <c r="B8" s="4">
        <v>45688</v>
      </c>
      <c r="C8" s="12" t="s">
        <v>24</v>
      </c>
      <c r="D8" s="27"/>
      <c r="E8" s="22"/>
      <c r="F8" s="28"/>
      <c r="G8" s="29">
        <v>3</v>
      </c>
      <c r="H8" s="22">
        <v>103.38482</v>
      </c>
      <c r="I8" s="32">
        <f>+G8*H8</f>
        <v>310.15446000000003</v>
      </c>
    </row>
    <row r="9" spans="2:9" ht="19.5" customHeight="1" x14ac:dyDescent="0.25">
      <c r="B9" s="4"/>
      <c r="C9" s="110" t="s">
        <v>10</v>
      </c>
      <c r="D9" s="102"/>
      <c r="E9" s="12"/>
      <c r="F9" s="33"/>
      <c r="G9" s="103"/>
      <c r="H9" s="12"/>
      <c r="I9" s="104"/>
    </row>
    <row r="10" spans="2:9" ht="19.5" customHeight="1" x14ac:dyDescent="0.25">
      <c r="B10" s="108"/>
      <c r="C10" s="107"/>
      <c r="D10" s="45"/>
      <c r="E10" s="44"/>
      <c r="F10" s="46"/>
      <c r="G10" s="47"/>
      <c r="H10" s="44"/>
      <c r="I10" s="56"/>
    </row>
    <row r="11" spans="2:9" ht="19.5" customHeight="1" x14ac:dyDescent="0.25">
      <c r="B11" s="43">
        <v>45716</v>
      </c>
      <c r="C11" s="49" t="s">
        <v>48</v>
      </c>
      <c r="D11" s="57"/>
      <c r="E11" s="50"/>
      <c r="F11" s="58"/>
      <c r="G11" s="59">
        <v>0</v>
      </c>
      <c r="H11" s="50">
        <v>103.38482</v>
      </c>
      <c r="I11" s="60">
        <f>+G11*H11</f>
        <v>0</v>
      </c>
    </row>
    <row r="12" spans="2:9" ht="19.5" customHeight="1" x14ac:dyDescent="0.25">
      <c r="B12" s="43"/>
      <c r="C12" s="113" t="s">
        <v>10</v>
      </c>
      <c r="D12" s="53"/>
      <c r="E12" s="49"/>
      <c r="F12" s="54"/>
      <c r="G12" s="55"/>
      <c r="H12" s="49"/>
      <c r="I12" s="56"/>
    </row>
    <row r="13" spans="2:9" ht="19.5" customHeight="1" x14ac:dyDescent="0.25">
      <c r="B13" s="108"/>
      <c r="C13" s="107"/>
      <c r="D13" s="45"/>
      <c r="E13" s="44"/>
      <c r="F13" s="46"/>
      <c r="G13" s="47"/>
      <c r="H13" s="44"/>
      <c r="I13" s="56"/>
    </row>
    <row r="14" spans="2:9" ht="19.5" customHeight="1" x14ac:dyDescent="0.25">
      <c r="B14" s="121">
        <v>45747</v>
      </c>
      <c r="C14" s="5" t="s">
        <v>50</v>
      </c>
      <c r="D14" s="116"/>
      <c r="E14" s="117"/>
      <c r="F14" s="118"/>
      <c r="G14" s="119">
        <v>0</v>
      </c>
      <c r="H14" s="117">
        <v>103.38482</v>
      </c>
      <c r="I14" s="106">
        <f>+G14*H14</f>
        <v>0</v>
      </c>
    </row>
    <row r="15" spans="2:9" ht="19.5" customHeight="1" x14ac:dyDescent="0.25">
      <c r="B15" s="4"/>
      <c r="C15" s="110" t="s">
        <v>10</v>
      </c>
      <c r="D15" s="102"/>
      <c r="E15" s="12"/>
      <c r="F15" s="33"/>
      <c r="G15" s="103"/>
      <c r="H15" s="12"/>
      <c r="I15" s="104"/>
    </row>
    <row r="16" spans="2:9" ht="19.5" customHeight="1" x14ac:dyDescent="0.25">
      <c r="B16" s="108"/>
      <c r="C16" s="107"/>
      <c r="D16" s="45"/>
      <c r="E16" s="44"/>
      <c r="F16" s="46"/>
      <c r="G16" s="47"/>
      <c r="H16" s="44"/>
      <c r="I16" s="56"/>
    </row>
    <row r="17" spans="2:9" ht="19.5" customHeight="1" x14ac:dyDescent="0.25">
      <c r="B17" s="108">
        <v>45777</v>
      </c>
      <c r="C17" s="44" t="s">
        <v>55</v>
      </c>
      <c r="D17" s="62"/>
      <c r="E17" s="61"/>
      <c r="F17" s="63"/>
      <c r="G17" s="64">
        <v>3</v>
      </c>
      <c r="H17" s="61">
        <v>103.38482</v>
      </c>
      <c r="I17" s="65">
        <f>+G17*H17</f>
        <v>310.15446000000003</v>
      </c>
    </row>
    <row r="18" spans="2:9" ht="19.5" customHeight="1" x14ac:dyDescent="0.25">
      <c r="B18" s="43"/>
      <c r="C18" s="113" t="s">
        <v>10</v>
      </c>
      <c r="D18" s="53"/>
      <c r="E18" s="49"/>
      <c r="F18" s="54"/>
      <c r="G18" s="55"/>
      <c r="H18" s="49"/>
      <c r="I18" s="60"/>
    </row>
    <row r="19" spans="2:9" ht="19.5" customHeight="1" x14ac:dyDescent="0.25">
      <c r="B19" s="108"/>
      <c r="C19" s="107"/>
      <c r="D19" s="45"/>
      <c r="E19" s="44"/>
      <c r="F19" s="46"/>
      <c r="G19" s="47"/>
      <c r="H19" s="44"/>
      <c r="I19" s="56"/>
    </row>
    <row r="20" spans="2:9" ht="19.5" customHeight="1" x14ac:dyDescent="0.25">
      <c r="B20" s="121">
        <v>45808</v>
      </c>
      <c r="C20" s="5" t="s">
        <v>60</v>
      </c>
      <c r="D20" s="116"/>
      <c r="E20" s="117"/>
      <c r="F20" s="118"/>
      <c r="G20" s="119">
        <v>0</v>
      </c>
      <c r="H20" s="117">
        <v>103.38482</v>
      </c>
      <c r="I20" s="106">
        <f>+G20*H20</f>
        <v>0</v>
      </c>
    </row>
    <row r="21" spans="2:9" ht="19.5" customHeight="1" x14ac:dyDescent="0.25">
      <c r="B21" s="4"/>
      <c r="C21" s="110" t="s">
        <v>10</v>
      </c>
      <c r="D21" s="102"/>
      <c r="E21" s="12"/>
      <c r="F21" s="33"/>
      <c r="G21" s="103"/>
      <c r="H21" s="12"/>
      <c r="I21" s="104"/>
    </row>
    <row r="22" spans="2:9" ht="19.5" customHeight="1" x14ac:dyDescent="0.25">
      <c r="B22" s="108"/>
      <c r="C22" s="107"/>
      <c r="D22" s="45"/>
      <c r="E22" s="44"/>
      <c r="F22" s="46"/>
      <c r="G22" s="47"/>
      <c r="H22" s="44"/>
      <c r="I22" s="56"/>
    </row>
    <row r="23" spans="2:9" ht="19.5" customHeight="1" x14ac:dyDescent="0.25">
      <c r="B23" s="108">
        <v>45838</v>
      </c>
      <c r="C23" s="44" t="s">
        <v>63</v>
      </c>
      <c r="D23" s="62"/>
      <c r="E23" s="61"/>
      <c r="F23" s="63"/>
      <c r="G23" s="64">
        <v>0</v>
      </c>
      <c r="H23" s="61">
        <v>103.38482</v>
      </c>
      <c r="I23" s="65">
        <f>+G23*H23</f>
        <v>0</v>
      </c>
    </row>
    <row r="24" spans="2:9" ht="19.5" customHeight="1" x14ac:dyDescent="0.25">
      <c r="B24" s="43"/>
      <c r="C24" s="113" t="s">
        <v>10</v>
      </c>
      <c r="D24" s="53"/>
      <c r="E24" s="49"/>
      <c r="F24" s="54"/>
      <c r="G24" s="55"/>
      <c r="H24" s="49"/>
      <c r="I24" s="60"/>
    </row>
    <row r="25" spans="2:9" ht="19.5" customHeight="1" x14ac:dyDescent="0.25">
      <c r="B25" s="108"/>
      <c r="C25" s="107"/>
      <c r="D25" s="45"/>
      <c r="E25" s="44"/>
      <c r="F25" s="46"/>
      <c r="G25" s="47"/>
      <c r="H25" s="44"/>
      <c r="I25" s="56"/>
    </row>
    <row r="26" spans="2:9" ht="19.5" customHeight="1" x14ac:dyDescent="0.25">
      <c r="B26" s="121">
        <v>45869</v>
      </c>
      <c r="C26" s="5" t="s">
        <v>64</v>
      </c>
      <c r="D26" s="116"/>
      <c r="E26" s="117"/>
      <c r="F26" s="118"/>
      <c r="G26" s="119">
        <v>0</v>
      </c>
      <c r="H26" s="117">
        <v>103.38482</v>
      </c>
      <c r="I26" s="106">
        <f>+G26*H26</f>
        <v>0</v>
      </c>
    </row>
    <row r="27" spans="2:9" ht="19.5" customHeight="1" x14ac:dyDescent="0.25">
      <c r="B27" s="4"/>
      <c r="C27" s="110" t="s">
        <v>10</v>
      </c>
      <c r="D27" s="102"/>
      <c r="E27" s="12"/>
      <c r="F27" s="33"/>
      <c r="G27" s="103"/>
      <c r="H27" s="12"/>
      <c r="I27" s="104"/>
    </row>
    <row r="28" spans="2:9" ht="19.5" customHeight="1" x14ac:dyDescent="0.25">
      <c r="B28" s="108"/>
      <c r="C28" s="107"/>
      <c r="D28" s="45"/>
      <c r="E28" s="44"/>
      <c r="F28" s="46"/>
      <c r="G28" s="47"/>
      <c r="H28" s="44"/>
      <c r="I28" s="56"/>
    </row>
    <row r="29" spans="2:9" ht="19.5" customHeight="1" x14ac:dyDescent="0.25">
      <c r="B29" s="108">
        <v>45900</v>
      </c>
      <c r="C29" s="44" t="s">
        <v>67</v>
      </c>
      <c r="D29" s="62"/>
      <c r="E29" s="61"/>
      <c r="F29" s="63"/>
      <c r="G29" s="64">
        <v>0</v>
      </c>
      <c r="H29" s="61">
        <v>103.38482</v>
      </c>
      <c r="I29" s="65">
        <f>+G29*H29</f>
        <v>0</v>
      </c>
    </row>
    <row r="30" spans="2:9" ht="19.5" customHeight="1" x14ac:dyDescent="0.25">
      <c r="B30" s="43"/>
      <c r="C30" s="113" t="s">
        <v>10</v>
      </c>
      <c r="D30" s="53"/>
      <c r="E30" s="49"/>
      <c r="F30" s="54"/>
      <c r="G30" s="55"/>
      <c r="H30" s="49"/>
      <c r="I30" s="60"/>
    </row>
    <row r="31" spans="2:9" ht="19.5" customHeight="1" x14ac:dyDescent="0.25">
      <c r="B31" s="108"/>
      <c r="C31" s="107"/>
      <c r="D31" s="45"/>
      <c r="E31" s="44"/>
      <c r="F31" s="46"/>
      <c r="G31" s="47"/>
      <c r="H31" s="44"/>
      <c r="I31" s="56"/>
    </row>
    <row r="32" spans="2:9" ht="19.5" customHeight="1" x14ac:dyDescent="0.25">
      <c r="B32" s="121">
        <v>45930</v>
      </c>
      <c r="C32" s="5" t="s">
        <v>72</v>
      </c>
      <c r="D32" s="116"/>
      <c r="E32" s="117"/>
      <c r="F32" s="118"/>
      <c r="G32" s="119">
        <v>3</v>
      </c>
      <c r="H32" s="117">
        <v>103.38482</v>
      </c>
      <c r="I32" s="106">
        <f>+G32*H32</f>
        <v>310.15446000000003</v>
      </c>
    </row>
    <row r="33" spans="2:11" ht="19.5" customHeight="1" x14ac:dyDescent="0.25">
      <c r="B33" s="4"/>
      <c r="C33" s="110" t="s">
        <v>10</v>
      </c>
      <c r="D33" s="102"/>
      <c r="E33" s="12"/>
      <c r="F33" s="33"/>
      <c r="G33" s="103"/>
      <c r="H33" s="12"/>
      <c r="I33" s="104"/>
    </row>
    <row r="34" spans="2:11" ht="19.5" customHeight="1" x14ac:dyDescent="0.25">
      <c r="B34" s="108"/>
      <c r="C34" s="107"/>
      <c r="D34" s="45"/>
      <c r="E34" s="44"/>
      <c r="F34" s="46"/>
      <c r="G34" s="47"/>
      <c r="H34" s="44"/>
      <c r="I34" s="56"/>
    </row>
    <row r="35" spans="2:11" ht="19.5" customHeight="1" x14ac:dyDescent="0.25">
      <c r="B35" s="108">
        <v>45961</v>
      </c>
      <c r="C35" s="44" t="s">
        <v>74</v>
      </c>
      <c r="D35" s="62"/>
      <c r="E35" s="61"/>
      <c r="F35" s="63"/>
      <c r="G35" s="64">
        <v>2</v>
      </c>
      <c r="H35" s="61">
        <v>103.38482</v>
      </c>
      <c r="I35" s="65">
        <f>+G35*H35</f>
        <v>206.76964000000001</v>
      </c>
    </row>
    <row r="36" spans="2:11" ht="19.5" customHeight="1" x14ac:dyDescent="0.25">
      <c r="B36" s="43"/>
      <c r="C36" s="113" t="s">
        <v>10</v>
      </c>
      <c r="D36" s="53"/>
      <c r="E36" s="49"/>
      <c r="F36" s="54"/>
      <c r="G36" s="55"/>
      <c r="H36" s="49"/>
      <c r="I36" s="60"/>
    </row>
    <row r="37" spans="2:11" ht="19.5" customHeight="1" x14ac:dyDescent="0.25">
      <c r="B37" s="108"/>
      <c r="C37" s="107"/>
      <c r="D37" s="45"/>
      <c r="E37" s="44"/>
      <c r="F37" s="46"/>
      <c r="G37" s="47"/>
      <c r="H37" s="44"/>
      <c r="I37" s="56"/>
    </row>
    <row r="38" spans="2:11" ht="19.5" customHeight="1" x14ac:dyDescent="0.25">
      <c r="B38" s="121">
        <v>45991</v>
      </c>
      <c r="C38" s="5" t="s">
        <v>79</v>
      </c>
      <c r="D38" s="116"/>
      <c r="E38" s="117"/>
      <c r="F38" s="118"/>
      <c r="G38" s="119">
        <v>3</v>
      </c>
      <c r="H38" s="117">
        <v>103.38482</v>
      </c>
      <c r="I38" s="106">
        <f>+G38*H38</f>
        <v>310.15446000000003</v>
      </c>
    </row>
    <row r="39" spans="2:11" ht="19.5" customHeight="1" x14ac:dyDescent="0.25">
      <c r="B39" s="4"/>
      <c r="C39" s="110" t="s">
        <v>10</v>
      </c>
      <c r="D39" s="102"/>
      <c r="E39" s="12"/>
      <c r="F39" s="33"/>
      <c r="G39" s="103"/>
      <c r="H39" s="12"/>
      <c r="I39" s="104"/>
    </row>
    <row r="40" spans="2:11" ht="19.5" customHeight="1" x14ac:dyDescent="0.25">
      <c r="B40" s="108"/>
      <c r="C40" s="107"/>
      <c r="D40" s="45"/>
      <c r="E40" s="44"/>
      <c r="F40" s="46"/>
      <c r="G40" s="47"/>
      <c r="H40" s="44"/>
      <c r="I40" s="56"/>
    </row>
    <row r="41" spans="2:11" ht="19.5" customHeight="1" x14ac:dyDescent="0.25">
      <c r="B41" s="108">
        <v>46022</v>
      </c>
      <c r="C41" s="44" t="s">
        <v>83</v>
      </c>
      <c r="D41" s="62"/>
      <c r="E41" s="61"/>
      <c r="F41" s="63"/>
      <c r="G41" s="64">
        <v>0</v>
      </c>
      <c r="H41" s="61">
        <v>103.38482</v>
      </c>
      <c r="I41" s="65">
        <f>+G41*H41</f>
        <v>0</v>
      </c>
    </row>
    <row r="42" spans="2:11" ht="19.5" customHeight="1" x14ac:dyDescent="0.25">
      <c r="B42" s="43"/>
      <c r="C42" s="113" t="s">
        <v>10</v>
      </c>
      <c r="D42" s="53"/>
      <c r="E42" s="49"/>
      <c r="F42" s="54"/>
      <c r="G42" s="55"/>
      <c r="H42" s="49"/>
      <c r="I42" s="60"/>
    </row>
    <row r="43" spans="2:11" ht="19.5" customHeight="1" x14ac:dyDescent="0.25">
      <c r="B43" s="108"/>
      <c r="C43" s="107"/>
      <c r="D43" s="45"/>
      <c r="E43" s="44"/>
      <c r="F43" s="46"/>
      <c r="G43" s="47"/>
      <c r="H43" s="44"/>
      <c r="I43" s="56"/>
    </row>
    <row r="44" spans="2:11" ht="19.5" customHeight="1" x14ac:dyDescent="0.25">
      <c r="B44" s="108"/>
      <c r="C44" s="107"/>
      <c r="D44" s="45"/>
      <c r="E44" s="44"/>
      <c r="F44" s="46"/>
      <c r="G44" s="47"/>
      <c r="H44" s="44"/>
      <c r="I44" s="56"/>
    </row>
    <row r="45" spans="2:11" ht="19.5" customHeight="1" x14ac:dyDescent="0.25">
      <c r="B45" s="43"/>
      <c r="C45" s="49"/>
      <c r="D45" s="53"/>
      <c r="E45" s="49"/>
      <c r="F45" s="54"/>
      <c r="G45" s="55"/>
      <c r="H45" s="49"/>
      <c r="I45" s="60"/>
    </row>
    <row r="46" spans="2:11" ht="19.5" customHeight="1" x14ac:dyDescent="0.25">
      <c r="B46" s="90"/>
      <c r="C46" s="61"/>
      <c r="D46" s="62"/>
      <c r="E46" s="61"/>
      <c r="F46" s="63"/>
      <c r="G46" s="64"/>
      <c r="H46" s="61"/>
      <c r="I46" s="56"/>
    </row>
    <row r="47" spans="2:11" ht="19.5" customHeight="1" thickBot="1" x14ac:dyDescent="0.3">
      <c r="B47" s="52"/>
      <c r="C47" s="66" t="s">
        <v>6</v>
      </c>
      <c r="D47" s="67">
        <f>SUM(D7:D46)</f>
        <v>89</v>
      </c>
      <c r="E47" s="68"/>
      <c r="F47" s="69">
        <f>SUM(F7:F46)</f>
        <v>9201.2489800000003</v>
      </c>
      <c r="G47" s="67">
        <f>SUM(G7:G46)</f>
        <v>14</v>
      </c>
      <c r="H47" s="68"/>
      <c r="I47" s="70">
        <f>SUM(I7:I46)</f>
        <v>1447.3874800000001</v>
      </c>
      <c r="K47" s="34"/>
    </row>
    <row r="48" spans="2:11" ht="19.5" customHeight="1" thickTop="1" thickBot="1" x14ac:dyDescent="0.3">
      <c r="B48" s="71"/>
      <c r="C48" s="72"/>
      <c r="D48" s="78"/>
      <c r="E48" s="72"/>
      <c r="F48" s="79"/>
      <c r="G48" s="80"/>
      <c r="H48" s="72"/>
      <c r="I48" s="81"/>
    </row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  <row r="60" ht="19.5" customHeight="1" x14ac:dyDescent="0.25"/>
    <row r="61" ht="19.5" customHeight="1" x14ac:dyDescent="0.25"/>
    <row r="62" ht="19.5" customHeight="1" x14ac:dyDescent="0.25"/>
    <row r="63" ht="19.5" customHeight="1" x14ac:dyDescent="0.25"/>
    <row r="64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  <row r="80" ht="19.5" customHeight="1" x14ac:dyDescent="0.25"/>
    <row r="81" ht="19.5" customHeight="1" x14ac:dyDescent="0.25"/>
  </sheetData>
  <mergeCells count="4">
    <mergeCell ref="B4:B5"/>
    <mergeCell ref="C4:C5"/>
    <mergeCell ref="D4:F4"/>
    <mergeCell ref="G4:I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DE541-5D5A-4073-A15F-325D975C7A69}">
  <sheetPr>
    <tabColor rgb="FF00B050"/>
  </sheetPr>
  <dimension ref="B2:M81"/>
  <sheetViews>
    <sheetView workbookViewId="0">
      <pane ySplit="5" topLeftCell="A32" activePane="bottomLeft" state="frozen"/>
      <selection pane="bottomLeft" activeCell="E42" sqref="E42"/>
    </sheetView>
  </sheetViews>
  <sheetFormatPr baseColWidth="10" defaultRowHeight="15" x14ac:dyDescent="0.25"/>
  <cols>
    <col min="1" max="1" width="4.5703125" customWidth="1"/>
    <col min="2" max="2" width="11.85546875" customWidth="1"/>
    <col min="3" max="3" width="43.5703125" customWidth="1"/>
    <col min="4" max="4" width="14.140625" bestFit="1" customWidth="1"/>
    <col min="6" max="6" width="12" bestFit="1" customWidth="1"/>
    <col min="9" max="9" width="12" customWidth="1"/>
    <col min="11" max="11" width="12" hidden="1" customWidth="1"/>
    <col min="12" max="12" width="11.42578125" hidden="1" customWidth="1"/>
    <col min="13" max="13" width="12" bestFit="1" customWidth="1"/>
  </cols>
  <sheetData>
    <row r="2" spans="2:9" ht="15.75" x14ac:dyDescent="0.25">
      <c r="C2" s="21" t="s">
        <v>27</v>
      </c>
    </row>
    <row r="3" spans="2:9" ht="15.75" customHeight="1" thickBot="1" x14ac:dyDescent="0.3"/>
    <row r="4" spans="2:9" ht="15.75" customHeight="1" thickBot="1" x14ac:dyDescent="0.3">
      <c r="B4" s="125" t="s">
        <v>8</v>
      </c>
      <c r="C4" s="125" t="s">
        <v>7</v>
      </c>
      <c r="D4" s="122" t="s">
        <v>1</v>
      </c>
      <c r="E4" s="123"/>
      <c r="F4" s="124"/>
      <c r="G4" s="122" t="s">
        <v>5</v>
      </c>
      <c r="H4" s="123"/>
      <c r="I4" s="124"/>
    </row>
    <row r="5" spans="2:9" ht="15.75" thickBot="1" x14ac:dyDescent="0.3">
      <c r="B5" s="126"/>
      <c r="C5" s="126"/>
      <c r="D5" s="13" t="s">
        <v>2</v>
      </c>
      <c r="E5" s="13" t="s">
        <v>3</v>
      </c>
      <c r="F5" s="13" t="s">
        <v>4</v>
      </c>
      <c r="G5" s="13" t="s">
        <v>2</v>
      </c>
      <c r="H5" s="13" t="s">
        <v>3</v>
      </c>
      <c r="I5" s="13" t="s">
        <v>4</v>
      </c>
    </row>
    <row r="6" spans="2:9" ht="15.75" thickBot="1" x14ac:dyDescent="0.3"/>
    <row r="7" spans="2:9" ht="19.5" customHeight="1" x14ac:dyDescent="0.25">
      <c r="B7" s="14"/>
      <c r="C7" s="15" t="s">
        <v>9</v>
      </c>
      <c r="D7" s="82">
        <v>92</v>
      </c>
      <c r="E7" s="83">
        <v>120.27679000000001</v>
      </c>
      <c r="F7" s="84">
        <f>+D7*E7</f>
        <v>11065.464680000001</v>
      </c>
      <c r="G7" s="19"/>
      <c r="H7" s="15"/>
      <c r="I7" s="20"/>
    </row>
    <row r="8" spans="2:9" ht="19.5" customHeight="1" x14ac:dyDescent="0.25">
      <c r="B8" s="4">
        <v>45688</v>
      </c>
      <c r="C8" s="12" t="s">
        <v>24</v>
      </c>
      <c r="D8" s="27"/>
      <c r="E8" s="22"/>
      <c r="F8" s="28"/>
      <c r="G8" s="29">
        <v>3</v>
      </c>
      <c r="H8" s="22">
        <v>120.27679000000001</v>
      </c>
      <c r="I8" s="106">
        <f>+G8*H8</f>
        <v>360.83037000000002</v>
      </c>
    </row>
    <row r="9" spans="2:9" ht="19.5" customHeight="1" x14ac:dyDescent="0.25">
      <c r="B9" s="30"/>
      <c r="C9" s="31" t="s">
        <v>10</v>
      </c>
      <c r="D9" s="27"/>
      <c r="E9" s="22"/>
      <c r="F9" s="28"/>
      <c r="G9" s="29"/>
      <c r="H9" s="22"/>
      <c r="I9" s="32"/>
    </row>
    <row r="10" spans="2:9" ht="19.5" customHeight="1" x14ac:dyDescent="0.25">
      <c r="B10" s="43"/>
      <c r="C10" s="51"/>
      <c r="D10" s="57"/>
      <c r="E10" s="50"/>
      <c r="F10" s="58"/>
      <c r="G10" s="59"/>
      <c r="H10" s="50"/>
      <c r="I10" s="60"/>
    </row>
    <row r="11" spans="2:9" ht="19.5" customHeight="1" x14ac:dyDescent="0.25">
      <c r="B11" s="43">
        <v>45716</v>
      </c>
      <c r="C11" s="49" t="s">
        <v>48</v>
      </c>
      <c r="D11" s="57"/>
      <c r="E11" s="50"/>
      <c r="F11" s="58"/>
      <c r="G11" s="59">
        <v>2</v>
      </c>
      <c r="H11" s="50">
        <v>120.27679000000001</v>
      </c>
      <c r="I11" s="56">
        <f>+G11*H11</f>
        <v>240.55358000000001</v>
      </c>
    </row>
    <row r="12" spans="2:9" ht="19.5" customHeight="1" x14ac:dyDescent="0.25">
      <c r="B12" s="52"/>
      <c r="C12" s="114" t="s">
        <v>10</v>
      </c>
      <c r="D12" s="57"/>
      <c r="E12" s="50"/>
      <c r="F12" s="58"/>
      <c r="G12" s="59"/>
      <c r="H12" s="50"/>
      <c r="I12" s="56"/>
    </row>
    <row r="13" spans="2:9" ht="19.5" customHeight="1" x14ac:dyDescent="0.25">
      <c r="B13" s="43"/>
      <c r="C13" s="120"/>
      <c r="D13" s="53"/>
      <c r="E13" s="49"/>
      <c r="F13" s="54"/>
      <c r="G13" s="55"/>
      <c r="H13" s="49"/>
      <c r="I13" s="60"/>
    </row>
    <row r="14" spans="2:9" ht="19.5" customHeight="1" x14ac:dyDescent="0.25">
      <c r="B14" s="121">
        <v>45747</v>
      </c>
      <c r="C14" s="5" t="s">
        <v>50</v>
      </c>
      <c r="D14" s="6"/>
      <c r="E14" s="5"/>
      <c r="F14" s="8"/>
      <c r="G14" s="9">
        <v>1</v>
      </c>
      <c r="H14" s="5">
        <v>120.27679000000001</v>
      </c>
      <c r="I14" s="10">
        <f>+G14*H14</f>
        <v>120.27679000000001</v>
      </c>
    </row>
    <row r="15" spans="2:9" ht="19.5" customHeight="1" x14ac:dyDescent="0.25">
      <c r="B15" s="4"/>
      <c r="C15" s="110" t="s">
        <v>10</v>
      </c>
      <c r="D15" s="102"/>
      <c r="E15" s="12"/>
      <c r="F15" s="33"/>
      <c r="G15" s="103"/>
      <c r="H15" s="12"/>
      <c r="I15" s="104"/>
    </row>
    <row r="16" spans="2:9" ht="19.5" customHeight="1" x14ac:dyDescent="0.25">
      <c r="B16" s="43"/>
      <c r="C16" s="120"/>
      <c r="D16" s="53"/>
      <c r="E16" s="49"/>
      <c r="F16" s="54"/>
      <c r="G16" s="55"/>
      <c r="H16" s="49"/>
      <c r="I16" s="60"/>
    </row>
    <row r="17" spans="2:9" ht="19.5" customHeight="1" x14ac:dyDescent="0.25">
      <c r="B17" s="108">
        <v>45777</v>
      </c>
      <c r="C17" s="44" t="s">
        <v>54</v>
      </c>
      <c r="D17" s="62"/>
      <c r="E17" s="61"/>
      <c r="F17" s="63"/>
      <c r="G17" s="64">
        <v>3</v>
      </c>
      <c r="H17" s="61">
        <v>120.27679000000001</v>
      </c>
      <c r="I17" s="60">
        <f>+G17*H17</f>
        <v>360.83037000000002</v>
      </c>
    </row>
    <row r="18" spans="2:9" ht="19.5" customHeight="1" x14ac:dyDescent="0.25">
      <c r="B18" s="52"/>
      <c r="C18" s="114" t="s">
        <v>10</v>
      </c>
      <c r="D18" s="57"/>
      <c r="E18" s="50"/>
      <c r="F18" s="58"/>
      <c r="G18" s="59"/>
      <c r="H18" s="50"/>
      <c r="I18" s="56"/>
    </row>
    <row r="19" spans="2:9" ht="19.5" customHeight="1" x14ac:dyDescent="0.25">
      <c r="B19" s="43"/>
      <c r="C19" s="120"/>
      <c r="D19" s="53"/>
      <c r="E19" s="49"/>
      <c r="F19" s="54"/>
      <c r="G19" s="55"/>
      <c r="H19" s="49"/>
      <c r="I19" s="60"/>
    </row>
    <row r="20" spans="2:9" ht="19.5" customHeight="1" x14ac:dyDescent="0.25">
      <c r="B20" s="121">
        <v>45808</v>
      </c>
      <c r="C20" s="5" t="s">
        <v>60</v>
      </c>
      <c r="D20" s="116"/>
      <c r="E20" s="117"/>
      <c r="F20" s="118"/>
      <c r="G20" s="119">
        <v>2</v>
      </c>
      <c r="H20" s="117">
        <v>120.27679000000001</v>
      </c>
      <c r="I20" s="10">
        <f>+G20*H20</f>
        <v>240.55358000000001</v>
      </c>
    </row>
    <row r="21" spans="2:9" ht="19.5" customHeight="1" x14ac:dyDescent="0.25">
      <c r="B21" s="4"/>
      <c r="C21" s="110" t="s">
        <v>10</v>
      </c>
      <c r="D21" s="102"/>
      <c r="E21" s="12"/>
      <c r="F21" s="33"/>
      <c r="G21" s="103"/>
      <c r="H21" s="12"/>
      <c r="I21" s="104"/>
    </row>
    <row r="22" spans="2:9" ht="19.5" customHeight="1" x14ac:dyDescent="0.25">
      <c r="B22" s="43"/>
      <c r="C22" s="120"/>
      <c r="D22" s="53"/>
      <c r="E22" s="49"/>
      <c r="F22" s="54"/>
      <c r="G22" s="55"/>
      <c r="H22" s="49"/>
      <c r="I22" s="60"/>
    </row>
    <row r="23" spans="2:9" ht="19.5" customHeight="1" x14ac:dyDescent="0.25">
      <c r="B23" s="108">
        <v>45838</v>
      </c>
      <c r="C23" s="44" t="s">
        <v>63</v>
      </c>
      <c r="D23" s="62"/>
      <c r="E23" s="61"/>
      <c r="F23" s="63"/>
      <c r="G23" s="64">
        <v>1</v>
      </c>
      <c r="H23" s="61">
        <v>120.27679000000001</v>
      </c>
      <c r="I23" s="60">
        <f>+G23*H23</f>
        <v>120.27679000000001</v>
      </c>
    </row>
    <row r="24" spans="2:9" ht="19.5" customHeight="1" x14ac:dyDescent="0.25">
      <c r="B24" s="52"/>
      <c r="C24" s="114" t="s">
        <v>10</v>
      </c>
      <c r="D24" s="57"/>
      <c r="E24" s="50"/>
      <c r="F24" s="58"/>
      <c r="G24" s="59"/>
      <c r="H24" s="50"/>
      <c r="I24" s="56"/>
    </row>
    <row r="25" spans="2:9" ht="19.5" customHeight="1" x14ac:dyDescent="0.25">
      <c r="B25" s="43"/>
      <c r="C25" s="120"/>
      <c r="D25" s="53"/>
      <c r="E25" s="49"/>
      <c r="F25" s="54"/>
      <c r="G25" s="55"/>
      <c r="H25" s="49"/>
      <c r="I25" s="60"/>
    </row>
    <row r="26" spans="2:9" ht="19.5" customHeight="1" x14ac:dyDescent="0.25">
      <c r="B26" s="121">
        <v>45869</v>
      </c>
      <c r="C26" s="5" t="s">
        <v>64</v>
      </c>
      <c r="D26" s="116"/>
      <c r="E26" s="117"/>
      <c r="F26" s="118"/>
      <c r="G26" s="119">
        <v>1</v>
      </c>
      <c r="H26" s="117">
        <v>120.27679000000001</v>
      </c>
      <c r="I26" s="10">
        <f>+G26*H26</f>
        <v>120.27679000000001</v>
      </c>
    </row>
    <row r="27" spans="2:9" ht="19.5" customHeight="1" x14ac:dyDescent="0.25">
      <c r="B27" s="4"/>
      <c r="C27" s="110" t="s">
        <v>10</v>
      </c>
      <c r="D27" s="102"/>
      <c r="E27" s="12"/>
      <c r="F27" s="33"/>
      <c r="G27" s="103"/>
      <c r="H27" s="12"/>
      <c r="I27" s="104"/>
    </row>
    <row r="28" spans="2:9" ht="19.5" customHeight="1" x14ac:dyDescent="0.25">
      <c r="B28" s="43"/>
      <c r="C28" s="120"/>
      <c r="D28" s="53"/>
      <c r="E28" s="49"/>
      <c r="F28" s="54"/>
      <c r="G28" s="55"/>
      <c r="H28" s="49"/>
      <c r="I28" s="60"/>
    </row>
    <row r="29" spans="2:9" ht="19.5" customHeight="1" x14ac:dyDescent="0.25">
      <c r="B29" s="108">
        <v>45900</v>
      </c>
      <c r="C29" s="44" t="s">
        <v>67</v>
      </c>
      <c r="D29" s="62"/>
      <c r="E29" s="61"/>
      <c r="F29" s="63"/>
      <c r="G29" s="64">
        <v>0</v>
      </c>
      <c r="H29" s="61">
        <v>120.27679000000001</v>
      </c>
      <c r="I29" s="60">
        <f>+G29*H29</f>
        <v>0</v>
      </c>
    </row>
    <row r="30" spans="2:9" ht="19.5" customHeight="1" x14ac:dyDescent="0.25">
      <c r="B30" s="52"/>
      <c r="C30" s="114" t="s">
        <v>10</v>
      </c>
      <c r="D30" s="57"/>
      <c r="E30" s="50"/>
      <c r="F30" s="58"/>
      <c r="G30" s="59"/>
      <c r="H30" s="50"/>
      <c r="I30" s="56"/>
    </row>
    <row r="31" spans="2:9" ht="19.5" customHeight="1" x14ac:dyDescent="0.25">
      <c r="B31" s="43"/>
      <c r="C31" s="120"/>
      <c r="D31" s="53"/>
      <c r="E31" s="49"/>
      <c r="F31" s="54"/>
      <c r="G31" s="55"/>
      <c r="H31" s="49"/>
      <c r="I31" s="60"/>
    </row>
    <row r="32" spans="2:9" ht="19.5" customHeight="1" x14ac:dyDescent="0.25">
      <c r="B32" s="121">
        <v>45930</v>
      </c>
      <c r="C32" s="5" t="s">
        <v>72</v>
      </c>
      <c r="D32" s="116"/>
      <c r="E32" s="117"/>
      <c r="F32" s="118"/>
      <c r="G32" s="119">
        <v>1</v>
      </c>
      <c r="H32" s="117">
        <v>120.27679000000001</v>
      </c>
      <c r="I32" s="10">
        <f>+G32*H32</f>
        <v>120.27679000000001</v>
      </c>
    </row>
    <row r="33" spans="2:13" ht="19.5" customHeight="1" x14ac:dyDescent="0.25">
      <c r="B33" s="30"/>
      <c r="C33" s="31" t="s">
        <v>10</v>
      </c>
      <c r="D33" s="27"/>
      <c r="E33" s="22"/>
      <c r="F33" s="28"/>
      <c r="G33" s="29"/>
      <c r="H33" s="22"/>
      <c r="I33" s="104"/>
    </row>
    <row r="34" spans="2:13" ht="19.5" customHeight="1" x14ac:dyDescent="0.25">
      <c r="B34" s="43"/>
      <c r="C34" s="120"/>
      <c r="D34" s="53"/>
      <c r="E34" s="49"/>
      <c r="F34" s="54"/>
      <c r="G34" s="55"/>
      <c r="H34" s="49"/>
      <c r="I34" s="60"/>
    </row>
    <row r="35" spans="2:13" ht="19.5" customHeight="1" x14ac:dyDescent="0.25">
      <c r="B35" s="108">
        <v>45961</v>
      </c>
      <c r="C35" s="44" t="s">
        <v>76</v>
      </c>
      <c r="D35" s="62"/>
      <c r="E35" s="61"/>
      <c r="F35" s="63"/>
      <c r="G35" s="64">
        <v>3</v>
      </c>
      <c r="H35" s="61">
        <v>120.27679000000001</v>
      </c>
      <c r="I35" s="60">
        <f>+G35*H35</f>
        <v>360.83037000000002</v>
      </c>
    </row>
    <row r="36" spans="2:13" ht="19.5" customHeight="1" x14ac:dyDescent="0.25">
      <c r="B36" s="52"/>
      <c r="C36" s="114" t="s">
        <v>10</v>
      </c>
      <c r="D36" s="57"/>
      <c r="E36" s="50"/>
      <c r="F36" s="58"/>
      <c r="G36" s="59"/>
      <c r="H36" s="50"/>
      <c r="I36" s="56"/>
    </row>
    <row r="37" spans="2:13" ht="19.5" customHeight="1" x14ac:dyDescent="0.25">
      <c r="B37" s="43"/>
      <c r="C37" s="120"/>
      <c r="D37" s="53"/>
      <c r="E37" s="49"/>
      <c r="F37" s="54"/>
      <c r="G37" s="55"/>
      <c r="H37" s="49"/>
      <c r="I37" s="60"/>
    </row>
    <row r="38" spans="2:13" ht="19.5" customHeight="1" x14ac:dyDescent="0.25">
      <c r="B38" s="121">
        <v>45991</v>
      </c>
      <c r="C38" s="5" t="s">
        <v>79</v>
      </c>
      <c r="D38" s="116"/>
      <c r="E38" s="117"/>
      <c r="F38" s="118"/>
      <c r="G38" s="119">
        <v>5</v>
      </c>
      <c r="H38" s="117">
        <v>120.27679000000001</v>
      </c>
      <c r="I38" s="10">
        <f>+G38*H38</f>
        <v>601.38395000000003</v>
      </c>
    </row>
    <row r="39" spans="2:13" ht="19.5" customHeight="1" x14ac:dyDescent="0.25">
      <c r="B39" s="30"/>
      <c r="C39" s="31" t="s">
        <v>10</v>
      </c>
      <c r="D39" s="27"/>
      <c r="E39" s="22"/>
      <c r="F39" s="28"/>
      <c r="G39" s="29"/>
      <c r="H39" s="22"/>
      <c r="I39" s="104"/>
    </row>
    <row r="40" spans="2:13" ht="19.5" customHeight="1" x14ac:dyDescent="0.25">
      <c r="B40" s="43"/>
      <c r="C40" s="120"/>
      <c r="D40" s="53"/>
      <c r="E40" s="49"/>
      <c r="F40" s="54"/>
      <c r="G40" s="55"/>
      <c r="H40" s="49"/>
      <c r="I40" s="60"/>
    </row>
    <row r="41" spans="2:13" ht="19.5" customHeight="1" x14ac:dyDescent="0.25">
      <c r="B41" s="108">
        <v>46022</v>
      </c>
      <c r="C41" s="44" t="s">
        <v>83</v>
      </c>
      <c r="D41" s="62"/>
      <c r="E41" s="61"/>
      <c r="F41" s="63"/>
      <c r="G41" s="64">
        <v>4</v>
      </c>
      <c r="H41" s="61">
        <v>120.27679000000001</v>
      </c>
      <c r="I41" s="60">
        <f>+G41*H41</f>
        <v>481.10716000000002</v>
      </c>
    </row>
    <row r="42" spans="2:13" ht="19.5" customHeight="1" x14ac:dyDescent="0.25">
      <c r="B42" s="52"/>
      <c r="C42" s="114" t="s">
        <v>10</v>
      </c>
      <c r="D42" s="57"/>
      <c r="E42" s="50"/>
      <c r="F42" s="58"/>
      <c r="G42" s="59"/>
      <c r="H42" s="50"/>
      <c r="I42" s="56"/>
    </row>
    <row r="43" spans="2:13" ht="19.5" customHeight="1" x14ac:dyDescent="0.25">
      <c r="B43" s="43"/>
      <c r="C43" s="120"/>
      <c r="D43" s="53"/>
      <c r="E43" s="49"/>
      <c r="F43" s="54"/>
      <c r="G43" s="55"/>
      <c r="H43" s="49"/>
      <c r="I43" s="60"/>
    </row>
    <row r="44" spans="2:13" ht="19.5" customHeight="1" x14ac:dyDescent="0.25">
      <c r="B44" s="52"/>
      <c r="C44" s="86"/>
      <c r="D44" s="57"/>
      <c r="E44" s="50"/>
      <c r="F44" s="58"/>
      <c r="G44" s="59"/>
      <c r="H44" s="50"/>
      <c r="I44" s="56"/>
    </row>
    <row r="45" spans="2:13" ht="19.5" customHeight="1" x14ac:dyDescent="0.25">
      <c r="B45" s="52"/>
      <c r="C45" s="86"/>
      <c r="D45" s="57"/>
      <c r="E45" s="50"/>
      <c r="F45" s="58"/>
      <c r="G45" s="59"/>
      <c r="H45" s="50"/>
      <c r="I45" s="56"/>
    </row>
    <row r="46" spans="2:13" ht="19.5" customHeight="1" x14ac:dyDescent="0.25">
      <c r="B46" s="52"/>
      <c r="C46" s="86"/>
      <c r="D46" s="57"/>
      <c r="E46" s="50"/>
      <c r="F46" s="58"/>
      <c r="G46" s="59"/>
      <c r="H46" s="50"/>
      <c r="I46" s="77"/>
    </row>
    <row r="47" spans="2:13" ht="19.5" customHeight="1" thickBot="1" x14ac:dyDescent="0.3">
      <c r="B47" s="52"/>
      <c r="C47" s="66" t="s">
        <v>6</v>
      </c>
      <c r="D47" s="67">
        <f>SUM(D7:D46)</f>
        <v>92</v>
      </c>
      <c r="E47" s="68"/>
      <c r="F47" s="69">
        <f>SUM(F7:F46)</f>
        <v>11065.464680000001</v>
      </c>
      <c r="G47" s="67">
        <f>SUM(G7:G46)</f>
        <v>26</v>
      </c>
      <c r="H47" s="68"/>
      <c r="I47" s="70">
        <f>SUM(I7:I46)</f>
        <v>3127.1965399999999</v>
      </c>
      <c r="K47" s="3">
        <f>+'Stándar Day'!I51+'Estándar Night'!I47+'Intensive F'!I58+'Intensive D'!I50+Biotina!I49+Finasteride!I51+'Saw Palmetto'!I52+'Minoxidil 1mg'!I49+'Gel Fijador '!I46+Acondicionador!I47+Shampoo!I47</f>
        <v>127327.15878000001</v>
      </c>
      <c r="L47" t="s">
        <v>38</v>
      </c>
      <c r="M47" s="34"/>
    </row>
    <row r="48" spans="2:13" ht="19.5" customHeight="1" thickTop="1" thickBot="1" x14ac:dyDescent="0.3">
      <c r="B48" s="71"/>
      <c r="C48" s="72"/>
      <c r="D48" s="78"/>
      <c r="E48" s="72"/>
      <c r="F48" s="79"/>
      <c r="G48" s="80"/>
      <c r="H48" s="72"/>
      <c r="I48" s="81"/>
    </row>
    <row r="49" spans="9:12" ht="19.5" customHeight="1" x14ac:dyDescent="0.25">
      <c r="K49" s="3">
        <f>+'Stándar Day'!F51+'Estándar Night'!F47+'Intensive F'!F58+'Intensive D'!F50+Biotina!F49+Finasteride!F51+'Saw Palmetto'!F52+'Minoxidil 1mg'!F49+'Gel Fijador '!F46+Acondicionador!F47+Shampoo!F47</f>
        <v>149356.59305</v>
      </c>
      <c r="L49" t="s">
        <v>39</v>
      </c>
    </row>
    <row r="50" spans="9:12" ht="19.5" customHeight="1" x14ac:dyDescent="0.25"/>
    <row r="51" spans="9:12" ht="19.5" customHeight="1" x14ac:dyDescent="0.25">
      <c r="I51" s="3"/>
      <c r="K51" s="34">
        <f>+K49-K47</f>
        <v>22029.434269999983</v>
      </c>
      <c r="L51" t="s">
        <v>40</v>
      </c>
    </row>
    <row r="52" spans="9:12" ht="19.5" customHeight="1" x14ac:dyDescent="0.25"/>
    <row r="53" spans="9:12" ht="19.5" customHeight="1" x14ac:dyDescent="0.25">
      <c r="I53" s="3"/>
      <c r="K53" s="34">
        <f>+K51-Inventario!D21</f>
        <v>-2541.2508800000178</v>
      </c>
      <c r="L53" t="s">
        <v>41</v>
      </c>
    </row>
    <row r="54" spans="9:12" ht="19.5" customHeight="1" x14ac:dyDescent="0.25"/>
    <row r="55" spans="9:12" ht="19.5" customHeight="1" x14ac:dyDescent="0.25"/>
    <row r="56" spans="9:12" ht="19.5" customHeight="1" x14ac:dyDescent="0.25"/>
    <row r="57" spans="9:12" ht="19.5" customHeight="1" x14ac:dyDescent="0.25"/>
    <row r="58" spans="9:12" ht="19.5" customHeight="1" x14ac:dyDescent="0.25"/>
    <row r="59" spans="9:12" ht="19.5" customHeight="1" x14ac:dyDescent="0.25"/>
    <row r="60" spans="9:12" ht="19.5" customHeight="1" x14ac:dyDescent="0.25"/>
    <row r="61" spans="9:12" ht="19.5" customHeight="1" x14ac:dyDescent="0.25"/>
    <row r="62" spans="9:12" ht="19.5" customHeight="1" x14ac:dyDescent="0.25"/>
    <row r="63" spans="9:12" ht="19.5" customHeight="1" x14ac:dyDescent="0.25"/>
    <row r="64" spans="9:12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  <row r="80" ht="19.5" customHeight="1" x14ac:dyDescent="0.25"/>
    <row r="81" ht="19.5" customHeight="1" x14ac:dyDescent="0.25"/>
  </sheetData>
  <mergeCells count="4">
    <mergeCell ref="B4:B5"/>
    <mergeCell ref="C4:C5"/>
    <mergeCell ref="D4:F4"/>
    <mergeCell ref="G4:I4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D22"/>
  <sheetViews>
    <sheetView tabSelected="1" zoomScaleNormal="100" workbookViewId="0">
      <selection activeCell="G12" sqref="G12"/>
    </sheetView>
  </sheetViews>
  <sheetFormatPr baseColWidth="10" defaultRowHeight="15" x14ac:dyDescent="0.2"/>
  <cols>
    <col min="1" max="1" width="45.28515625" style="1" customWidth="1"/>
    <col min="2" max="4" width="15.42578125" style="1" customWidth="1"/>
    <col min="5" max="16384" width="11.42578125" style="1"/>
  </cols>
  <sheetData>
    <row r="3" spans="1:4" ht="31.5" x14ac:dyDescent="0.2">
      <c r="A3" s="35" t="s">
        <v>0</v>
      </c>
      <c r="B3" s="40" t="s">
        <v>80</v>
      </c>
      <c r="C3" s="36" t="s">
        <v>31</v>
      </c>
      <c r="D3" s="36" t="s">
        <v>32</v>
      </c>
    </row>
    <row r="4" spans="1:4" ht="15.75" x14ac:dyDescent="0.25">
      <c r="A4" s="2" t="s">
        <v>18</v>
      </c>
      <c r="B4" s="37">
        <v>0</v>
      </c>
      <c r="C4" s="38">
        <v>96.571430000000007</v>
      </c>
      <c r="D4" s="39">
        <f>+B4*C4</f>
        <v>0</v>
      </c>
    </row>
    <row r="5" spans="1:4" ht="15.75" x14ac:dyDescent="0.25">
      <c r="A5" s="2" t="s">
        <v>19</v>
      </c>
      <c r="B5" s="37">
        <v>0</v>
      </c>
      <c r="C5" s="38">
        <v>96.571430000000007</v>
      </c>
      <c r="D5" s="39">
        <f t="shared" ref="D5:D17" si="0">+B5*C5</f>
        <v>0</v>
      </c>
    </row>
    <row r="6" spans="1:4" ht="15.75" x14ac:dyDescent="0.25">
      <c r="A6" s="2" t="s">
        <v>37</v>
      </c>
      <c r="B6" s="37">
        <v>0</v>
      </c>
      <c r="C6" s="38">
        <v>96.571430000000007</v>
      </c>
      <c r="D6" s="39">
        <f t="shared" si="0"/>
        <v>0</v>
      </c>
    </row>
    <row r="7" spans="1:4" ht="15.75" x14ac:dyDescent="0.25">
      <c r="A7" s="2" t="s">
        <v>22</v>
      </c>
      <c r="B7" s="37">
        <v>0</v>
      </c>
      <c r="C7" s="38">
        <v>96.571430000000007</v>
      </c>
      <c r="D7" s="39">
        <f t="shared" si="0"/>
        <v>0</v>
      </c>
    </row>
    <row r="8" spans="1:4" ht="15.75" x14ac:dyDescent="0.25">
      <c r="A8" s="2" t="s">
        <v>23</v>
      </c>
      <c r="B8" s="37">
        <v>3</v>
      </c>
      <c r="C8" s="38">
        <v>74.3125</v>
      </c>
      <c r="D8" s="39">
        <f t="shared" si="0"/>
        <v>222.9375</v>
      </c>
    </row>
    <row r="9" spans="1:4" ht="15.75" x14ac:dyDescent="0.25">
      <c r="A9" s="2" t="s">
        <v>20</v>
      </c>
      <c r="B9" s="37">
        <v>38</v>
      </c>
      <c r="C9" s="38">
        <v>71.580359999999999</v>
      </c>
      <c r="D9" s="39">
        <f t="shared" si="0"/>
        <v>2720.05368</v>
      </c>
    </row>
    <row r="10" spans="1:4" ht="15.75" x14ac:dyDescent="0.25">
      <c r="A10" s="2" t="s">
        <v>21</v>
      </c>
      <c r="B10" s="37">
        <v>22</v>
      </c>
      <c r="C10" s="38">
        <v>133.25892999999999</v>
      </c>
      <c r="D10" s="39">
        <f t="shared" si="0"/>
        <v>2931.6964599999997</v>
      </c>
    </row>
    <row r="11" spans="1:4" ht="15.75" x14ac:dyDescent="0.25">
      <c r="A11" s="2" t="s">
        <v>36</v>
      </c>
      <c r="B11" s="37">
        <v>0</v>
      </c>
      <c r="C11" s="38">
        <v>91.598209999999995</v>
      </c>
      <c r="D11" s="39">
        <f t="shared" si="0"/>
        <v>0</v>
      </c>
    </row>
    <row r="12" spans="1:4" ht="15.75" x14ac:dyDescent="0.25">
      <c r="A12" s="2" t="s">
        <v>42</v>
      </c>
      <c r="B12" s="37">
        <v>0</v>
      </c>
      <c r="C12" s="38">
        <v>133.92857000000001</v>
      </c>
      <c r="D12" s="39">
        <f t="shared" si="0"/>
        <v>0</v>
      </c>
    </row>
    <row r="13" spans="1:4" ht="15.75" x14ac:dyDescent="0.25">
      <c r="A13" s="2" t="s">
        <v>44</v>
      </c>
      <c r="B13" s="37">
        <v>17</v>
      </c>
      <c r="C13" s="38">
        <v>107.14286</v>
      </c>
      <c r="D13" s="39">
        <f t="shared" si="0"/>
        <v>1821.4286199999999</v>
      </c>
    </row>
    <row r="14" spans="1:4" ht="15.75" x14ac:dyDescent="0.25">
      <c r="A14" s="2" t="s">
        <v>56</v>
      </c>
      <c r="B14" s="37">
        <v>14</v>
      </c>
      <c r="C14" s="38">
        <v>186.60713999999999</v>
      </c>
      <c r="D14" s="39">
        <f t="shared" si="0"/>
        <v>2612.4999599999996</v>
      </c>
    </row>
    <row r="15" spans="1:4" ht="15.75" x14ac:dyDescent="0.25">
      <c r="A15" s="2" t="s">
        <v>29</v>
      </c>
      <c r="B15" s="37">
        <v>11</v>
      </c>
      <c r="C15" s="38">
        <v>42.056089999999998</v>
      </c>
      <c r="D15" s="39">
        <f t="shared" si="0"/>
        <v>462.61698999999999</v>
      </c>
    </row>
    <row r="16" spans="1:4" ht="15.75" x14ac:dyDescent="0.25">
      <c r="A16" s="2" t="s">
        <v>28</v>
      </c>
      <c r="B16" s="37">
        <v>66</v>
      </c>
      <c r="C16" s="38">
        <v>103.38482</v>
      </c>
      <c r="D16" s="39">
        <f t="shared" si="0"/>
        <v>6823.3981200000007</v>
      </c>
    </row>
    <row r="17" spans="1:4" ht="15.75" x14ac:dyDescent="0.25">
      <c r="A17" s="2" t="s">
        <v>30</v>
      </c>
      <c r="B17" s="37">
        <v>58</v>
      </c>
      <c r="C17" s="38">
        <v>120.27679000000001</v>
      </c>
      <c r="D17" s="39">
        <f t="shared" si="0"/>
        <v>6976.0538200000001</v>
      </c>
    </row>
    <row r="19" spans="1:4" ht="15.75" customHeight="1" thickBot="1" x14ac:dyDescent="0.3">
      <c r="A19" s="26" t="s">
        <v>33</v>
      </c>
      <c r="B19" s="41">
        <f>SUM(B4:B17)</f>
        <v>229</v>
      </c>
      <c r="C19" s="34"/>
    </row>
    <row r="20" spans="1:4" ht="16.5" thickTop="1" x14ac:dyDescent="0.25">
      <c r="C20" s="34"/>
    </row>
    <row r="21" spans="1:4" ht="16.5" thickBot="1" x14ac:dyDescent="0.3">
      <c r="A21" s="26" t="s">
        <v>34</v>
      </c>
      <c r="D21" s="42">
        <f>SUM(D4:D20)</f>
        <v>24570.685150000001</v>
      </c>
    </row>
    <row r="22" spans="1:4" ht="15.75" thickTop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2</vt:i4>
      </vt:variant>
    </vt:vector>
  </HeadingPairs>
  <TitlesOfParts>
    <vt:vector size="17" baseType="lpstr">
      <vt:lpstr>Stándar Day</vt:lpstr>
      <vt:lpstr>Estándar Night</vt:lpstr>
      <vt:lpstr>Intensive F</vt:lpstr>
      <vt:lpstr>Intensive D</vt:lpstr>
      <vt:lpstr>Biotina</vt:lpstr>
      <vt:lpstr>Finasteride</vt:lpstr>
      <vt:lpstr>Saw Palmetto</vt:lpstr>
      <vt:lpstr>Minoxidil 1mg</vt:lpstr>
      <vt:lpstr>Minoxidil 10mg</vt:lpstr>
      <vt:lpstr>Minoxidil 2.5mg</vt:lpstr>
      <vt:lpstr>Dutasteride 0.5mg</vt:lpstr>
      <vt:lpstr>Gel Fijador </vt:lpstr>
      <vt:lpstr>Acondicionador</vt:lpstr>
      <vt:lpstr>Shampoo</vt:lpstr>
      <vt:lpstr>Inventario</vt:lpstr>
      <vt:lpstr>Finasteride!Área_de_impresión</vt:lpstr>
      <vt:lpstr>'Saw Palmetto'!Área_de_impresión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Gerente de Operaciones</dc:creator>
  <cp:lastModifiedBy>Encargado Contabilidad</cp:lastModifiedBy>
  <cp:lastPrinted>2020-08-17T22:05:32Z</cp:lastPrinted>
  <dcterms:created xsi:type="dcterms:W3CDTF">2019-12-05T15:36:42Z</dcterms:created>
  <dcterms:modified xsi:type="dcterms:W3CDTF">2026-01-14T17:32:33Z</dcterms:modified>
</cp:coreProperties>
</file>